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Universita\Teoria e progetto strutture in ca e cap\SLU\"/>
    </mc:Choice>
  </mc:AlternateContent>
  <xr:revisionPtr revIDLastSave="0" documentId="13_ncr:1_{D1D25B1F-2C35-49DF-AD19-349F5AA3640E}" xr6:coauthVersionLast="34" xr6:coauthVersionMax="34" xr10:uidLastSave="{00000000-0000-0000-0000-000000000000}"/>
  <bookViews>
    <workbookView xWindow="0" yWindow="0" windowWidth="20490" windowHeight="8985" tabRatio="733" xr2:uid="{6723A043-B044-4E92-A5EE-E9EF3F75E9C0}"/>
  </bookViews>
  <sheets>
    <sheet name="Input - Output" sheetId="1" r:id="rId1"/>
    <sheet name="Coefficienti" sheetId="2" state="hidden" r:id="rId2"/>
    <sheet name="Momento_positivo" sheetId="3" state="hidden" r:id="rId3"/>
    <sheet name="Momento_negativo" sheetId="4" state="hidden" r:id="rId4"/>
  </sheets>
  <definedNames>
    <definedName name="A_s">Momento_positivo!$J$17</definedName>
    <definedName name="A_sprime">Momento_positivo!$J$16</definedName>
    <definedName name="b">'Input - Output'!$C$9</definedName>
    <definedName name="b_w">'Input - Output'!$G$9</definedName>
    <definedName name="beta_1">Coefficienti!$J$4</definedName>
    <definedName name="beta_2">Coefficienti!$J$5</definedName>
    <definedName name="beta_eps">Momento_positivo!$C$14</definedName>
    <definedName name="beta_eps1">Momento_positivo!$C$14</definedName>
    <definedName name="beta_eps2">Momento_positivo!$C$15</definedName>
    <definedName name="C.">Momento_positivo!$C$25</definedName>
    <definedName name="C.2">Momento_negativo!$C$20</definedName>
    <definedName name="C_1">Momento_positivo!$C$25</definedName>
    <definedName name="C_2">Momento_positivo!$C$26</definedName>
    <definedName name="d">Coefficienti!$C$17</definedName>
    <definedName name="d_prime">'Input - Output'!$C$11</definedName>
    <definedName name="E_s">Coefficienti!$C$4</definedName>
    <definedName name="eps">Coefficienti!$J$9</definedName>
    <definedName name="epsilon_c">Coefficienti!$C$20</definedName>
    <definedName name="epsilon_s">Momento_positivo!$C$8</definedName>
    <definedName name="epsilon_s2">Momento_negativo!$C$8</definedName>
    <definedName name="epsilon_sprime">Momento_positivo!$C$9</definedName>
    <definedName name="epsilon_sprime2">Momento_negativo!$C$9</definedName>
    <definedName name="epsilon_yd">Coefficienti!$C$6</definedName>
    <definedName name="eta">Momento_positivo!$C$11</definedName>
    <definedName name="f_cd">Coefficienti!$C$11</definedName>
    <definedName name="f_ck">'Input - Output'!$C$20</definedName>
    <definedName name="f_yd">Coefficienti!$C$13</definedName>
    <definedName name="f_yk">'Input - Output'!$C$22</definedName>
    <definedName name="gamma_gprime">Momento_positivo!$O$17</definedName>
    <definedName name="h">'Input - Output'!$C$7</definedName>
    <definedName name="h_w">'Input - Output'!$G$7</definedName>
    <definedName name="M_ed">'Input - Output'!$C$27</definedName>
    <definedName name="M_rd">Momento_positivo!$I$7</definedName>
    <definedName name="M_rd2">Momento_negativo!$H$6</definedName>
    <definedName name="N_ed">'Input - Output'!$C$26</definedName>
    <definedName name="N_rd">Momento_positivo!$I$9</definedName>
    <definedName name="N_Rd2">Momento_negativo!$H$8</definedName>
    <definedName name="S">Momento_positivo!$C$28</definedName>
    <definedName name="S.2">Momento_negativo!$C$23</definedName>
    <definedName name="S_prime">Momento_positivo!$C$29</definedName>
    <definedName name="S_prime2">Momento_negativo!$C$24</definedName>
    <definedName name="sigma_s">Momento_positivo!$C$19</definedName>
    <definedName name="sigma_s2">Momento_negativo!$C$14</definedName>
    <definedName name="sigma_sprime">Momento_positivo!$C$20</definedName>
    <definedName name="sigma_sprime2">Momento_negativo!$C$15</definedName>
    <definedName name="solver_adj" localSheetId="2" hidden="1">Momento_positivo!$C$3</definedName>
    <definedName name="solver_cvg" localSheetId="2" hidden="1">0.0001</definedName>
    <definedName name="solver_drv" localSheetId="2" hidden="1">2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Momento_positivo!$C$3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Momento_positivo!$I$9</definedName>
    <definedName name="solver_pre" localSheetId="2" hidden="1">0.000001</definedName>
    <definedName name="solver_rbv" localSheetId="2" hidden="1">2</definedName>
    <definedName name="solver_rel1" localSheetId="2" hidden="1">3</definedName>
    <definedName name="solver_rhs1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0</definedName>
    <definedName name="solver_ver" localSheetId="2" hidden="1">3</definedName>
    <definedName name="x">Momento_positivo!$C$3</definedName>
    <definedName name="x_u">Momento_positivo!$C$3</definedName>
    <definedName name="x_u2">Momento_negativo!$C$3</definedName>
    <definedName name="y_c">Momento_positivo!$F$25</definedName>
    <definedName name="y_c.2">Momento_negativo!$F$20</definedName>
    <definedName name="y_c1">Momento_positivo!$F$25</definedName>
    <definedName name="y_c2">Momento_positivo!$F$26</definedName>
    <definedName name="y_g">Momento_positivo!$O$15</definedName>
    <definedName name="y_gprime">Momento_positivo!$O$17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4" l="1"/>
  <c r="F20" i="4" l="1"/>
  <c r="C9" i="4"/>
  <c r="C15" i="4" s="1"/>
  <c r="J17" i="3" l="1"/>
  <c r="C24" i="4" s="1"/>
  <c r="J16" i="3"/>
  <c r="I3" i="3"/>
  <c r="C9" i="3"/>
  <c r="C10" i="3"/>
  <c r="C17" i="2" l="1"/>
  <c r="C8" i="3" l="1"/>
  <c r="C8" i="4"/>
  <c r="O15" i="3"/>
  <c r="O17" i="3" s="1"/>
  <c r="F25" i="3"/>
  <c r="C11" i="3"/>
  <c r="C14" i="3" s="1"/>
  <c r="C15" i="3" l="1"/>
  <c r="F26" i="3" s="1"/>
  <c r="L7" i="1"/>
  <c r="C13" i="2"/>
  <c r="C11" i="2"/>
  <c r="C25" i="3" l="1"/>
  <c r="C20" i="4"/>
  <c r="C19" i="3"/>
  <c r="C20" i="3"/>
  <c r="C29" i="3" s="1"/>
  <c r="C14" i="4"/>
  <c r="C23" i="4" s="1"/>
  <c r="C26" i="3"/>
  <c r="L8" i="1"/>
  <c r="H6" i="4" l="1"/>
  <c r="Q14" i="1" s="1"/>
  <c r="H8" i="4"/>
  <c r="Q13" i="1" s="1"/>
  <c r="C28" i="3"/>
  <c r="I7" i="3" s="1"/>
  <c r="L14" i="1" l="1"/>
  <c r="N14" i="1" s="1"/>
  <c r="S14" i="1"/>
  <c r="I9" i="3"/>
  <c r="S13" i="1" s="1"/>
  <c r="L13" i="1" l="1"/>
  <c r="N13" i="1" s="1"/>
</calcChain>
</file>

<file path=xl/sharedStrings.xml><?xml version="1.0" encoding="utf-8"?>
<sst xmlns="http://schemas.openxmlformats.org/spreadsheetml/2006/main" count="182" uniqueCount="105">
  <si>
    <t xml:space="preserve">Geometria </t>
  </si>
  <si>
    <t>h  =</t>
  </si>
  <si>
    <t>[mm]</t>
  </si>
  <si>
    <t xml:space="preserve">b = </t>
  </si>
  <si>
    <t>Ricoprimento copriferro</t>
  </si>
  <si>
    <t>d' =</t>
  </si>
  <si>
    <r>
      <t>A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</si>
  <si>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[mm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]</t>
    </r>
  </si>
  <si>
    <t>Materiali</t>
  </si>
  <si>
    <t>Resistenza a compressione cls</t>
  </si>
  <si>
    <r>
      <t>f</t>
    </r>
    <r>
      <rPr>
        <vertAlign val="subscript"/>
        <sz val="10"/>
        <color theme="1"/>
        <rFont val="Calibri"/>
        <family val="2"/>
        <scheme val="minor"/>
      </rPr>
      <t>ck</t>
    </r>
    <r>
      <rPr>
        <sz val="10"/>
        <color theme="1"/>
        <rFont val="Calibri"/>
        <family val="2"/>
        <scheme val="minor"/>
      </rPr>
      <t xml:space="preserve"> =</t>
    </r>
  </si>
  <si>
    <t>[MPa]</t>
  </si>
  <si>
    <r>
      <t>f</t>
    </r>
    <r>
      <rPr>
        <vertAlign val="subscript"/>
        <sz val="10"/>
        <color theme="1"/>
        <rFont val="Calibri"/>
        <family val="2"/>
        <scheme val="minor"/>
      </rPr>
      <t>yk</t>
    </r>
    <r>
      <rPr>
        <sz val="10"/>
        <color theme="1"/>
        <rFont val="Calibri"/>
        <family val="2"/>
        <scheme val="minor"/>
      </rPr>
      <t xml:space="preserve"> =</t>
    </r>
  </si>
  <si>
    <t>Azioni</t>
  </si>
  <si>
    <r>
      <t>N</t>
    </r>
    <r>
      <rPr>
        <vertAlign val="subscript"/>
        <sz val="10"/>
        <color theme="1"/>
        <rFont val="Calibri"/>
        <family val="2"/>
        <scheme val="minor"/>
      </rPr>
      <t>Ed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</si>
  <si>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Ed</t>
    </r>
    <r>
      <rPr>
        <sz val="10"/>
        <color theme="1"/>
        <rFont val="Calibri"/>
        <family val="2"/>
        <scheme val="minor"/>
      </rPr>
      <t xml:space="preserve"> =</t>
    </r>
  </si>
  <si>
    <t>[kN]</t>
  </si>
  <si>
    <t>[kN m]</t>
  </si>
  <si>
    <t>Modulo di Young per l'acciaio</t>
  </si>
  <si>
    <r>
      <t>E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</si>
  <si>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[GPa]</t>
  </si>
  <si>
    <t>Deformazione allo snervamento dell'acciaio</t>
  </si>
  <si>
    <r>
      <t>ε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</si>
  <si>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t>[</t>
    </r>
    <r>
      <rPr>
        <sz val="10"/>
        <color theme="1"/>
        <rFont val="Calibri"/>
        <family val="2"/>
      </rPr>
      <t>‰</t>
    </r>
    <r>
      <rPr>
        <sz val="10"/>
        <color theme="1"/>
        <rFont val="Calibri"/>
        <family val="2"/>
        <scheme val="minor"/>
      </rPr>
      <t>]</t>
    </r>
  </si>
  <si>
    <t>Resistenza a compressione cls di progetto</t>
  </si>
  <si>
    <r>
      <t>f</t>
    </r>
    <r>
      <rPr>
        <vertAlign val="subscript"/>
        <sz val="10"/>
        <color theme="1"/>
        <rFont val="Calibri"/>
        <family val="2"/>
        <scheme val="minor"/>
      </rPr>
      <t>cd</t>
    </r>
    <r>
      <rPr>
        <sz val="10"/>
        <color theme="1"/>
        <rFont val="Calibri"/>
        <family val="2"/>
        <scheme val="minor"/>
      </rPr>
      <t xml:space="preserve"> =</t>
    </r>
  </si>
  <si>
    <t>Tensione di snervamento acciaio di progetto</t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</si>
  <si>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</si>
  <si>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t>Altezza utile</t>
  </si>
  <si>
    <t xml:space="preserve">d = </t>
  </si>
  <si>
    <t>Deformazione fibra estrema cls</t>
  </si>
  <si>
    <r>
      <t>ε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</si>
  <si>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=</t>
    </r>
  </si>
  <si>
    <r>
      <t>M</t>
    </r>
    <r>
      <rPr>
        <vertAlign val="sub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=</t>
    </r>
  </si>
  <si>
    <t>Deformazioni</t>
  </si>
  <si>
    <t>Acciaio inferiore</t>
  </si>
  <si>
    <t>Altezza area compressa</t>
  </si>
  <si>
    <r>
      <t>x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</si>
  <si>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t>ε</t>
    </r>
    <r>
      <rPr>
        <vertAlign val="subscript"/>
        <sz val="10"/>
        <color theme="1"/>
        <rFont val="Calibri"/>
        <family val="2"/>
        <scheme val="minor"/>
      </rPr>
      <t xml:space="preserve">s </t>
    </r>
    <r>
      <rPr>
        <sz val="10"/>
        <color theme="1"/>
        <rFont val="Calibri"/>
        <family val="2"/>
        <scheme val="minor"/>
      </rPr>
      <t xml:space="preserve"> =</t>
    </r>
  </si>
  <si>
    <t>Tensioni</t>
  </si>
  <si>
    <r>
      <t>σ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</si>
  <si>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Forze</t>
  </si>
  <si>
    <r>
      <t>β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</si>
  <si>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r>
      <t>β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</si>
  <si>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t>[-]</t>
  </si>
  <si>
    <t>Coefficienti di ripartizione</t>
  </si>
  <si>
    <t>Calcestruzzo</t>
  </si>
  <si>
    <t>S =</t>
  </si>
  <si>
    <t>Momento resistente</t>
  </si>
  <si>
    <t>Forza assiale resistente</t>
  </si>
  <si>
    <t>posizione</t>
  </si>
  <si>
    <r>
      <t>x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>/d =</t>
    </r>
  </si>
  <si>
    <t>Condizioni deformata</t>
  </si>
  <si>
    <t xml:space="preserve"> </t>
  </si>
  <si>
    <t>Altezza anima</t>
  </si>
  <si>
    <r>
      <t>h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</si>
  <si>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b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</si>
  <si>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ε</t>
    </r>
    <r>
      <rPr>
        <vertAlign val="subscript"/>
        <sz val="10"/>
        <color theme="1"/>
        <rFont val="Calibri"/>
        <family val="2"/>
        <scheme val="minor"/>
      </rPr>
      <t>c(h)</t>
    </r>
    <r>
      <rPr>
        <sz val="10"/>
        <color theme="1"/>
        <rFont val="Calibri"/>
        <family val="2"/>
        <scheme val="minor"/>
      </rPr>
      <t xml:space="preserve"> =</t>
    </r>
  </si>
  <si>
    <t>Coefficiente di ripartizione</t>
  </si>
  <si>
    <t>Area armatura</t>
  </si>
  <si>
    <t>Larghezza anima</t>
  </si>
  <si>
    <t>Larghezza di competenza</t>
  </si>
  <si>
    <t>η =</t>
  </si>
  <si>
    <r>
      <t>β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(ε</t>
    </r>
    <r>
      <rPr>
        <vertAlign val="subscript"/>
        <sz val="10"/>
        <color theme="1"/>
        <rFont val="Calibri"/>
        <family val="2"/>
        <scheme val="minor"/>
      </rPr>
      <t>c(h)</t>
    </r>
    <r>
      <rPr>
        <sz val="10"/>
        <color theme="1"/>
        <rFont val="Calibri"/>
        <family val="2"/>
        <scheme val="minor"/>
      </rPr>
      <t>) =</t>
    </r>
  </si>
  <si>
    <r>
      <t>β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(ε</t>
    </r>
    <r>
      <rPr>
        <vertAlign val="subscript"/>
        <sz val="10"/>
        <color theme="1"/>
        <rFont val="Calibri"/>
        <family val="2"/>
        <scheme val="minor"/>
      </rPr>
      <t>c(h)</t>
    </r>
    <r>
      <rPr>
        <sz val="10"/>
        <color theme="1"/>
        <rFont val="Calibri"/>
        <family val="2"/>
        <scheme val="minor"/>
      </rPr>
      <t>) =</t>
    </r>
  </si>
  <si>
    <r>
      <t>C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=</t>
    </r>
  </si>
  <si>
    <r>
      <t>C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 xml:space="preserve"> =</t>
    </r>
  </si>
  <si>
    <r>
      <t>y</t>
    </r>
    <r>
      <rPr>
        <vertAlign val="subscript"/>
        <sz val="10"/>
        <color theme="1"/>
        <rFont val="Calibri"/>
        <family val="2"/>
        <scheme val="minor"/>
      </rPr>
      <t>c1</t>
    </r>
    <r>
      <rPr>
        <sz val="10"/>
        <color theme="1"/>
        <rFont val="Calibri"/>
        <family val="2"/>
        <scheme val="minor"/>
      </rPr>
      <t xml:space="preserve"> =</t>
    </r>
  </si>
  <si>
    <r>
      <t>y</t>
    </r>
    <r>
      <rPr>
        <vertAlign val="subscript"/>
        <sz val="10"/>
        <color theme="1"/>
        <rFont val="Calibri"/>
        <family val="2"/>
        <scheme val="minor"/>
      </rPr>
      <t>c2</t>
    </r>
    <r>
      <rPr>
        <sz val="10"/>
        <color theme="1"/>
        <rFont val="Calibri"/>
        <family val="2"/>
        <scheme val="minor"/>
      </rPr>
      <t>=</t>
    </r>
  </si>
  <si>
    <t>Baricentro</t>
  </si>
  <si>
    <r>
      <t>y</t>
    </r>
    <r>
      <rPr>
        <vertAlign val="subscript"/>
        <sz val="10"/>
        <color theme="1"/>
        <rFont val="Calibri"/>
        <family val="2"/>
        <scheme val="minor"/>
      </rPr>
      <t>g</t>
    </r>
    <r>
      <rPr>
        <sz val="10"/>
        <color theme="1"/>
        <rFont val="Calibri"/>
        <family val="2"/>
        <scheme val="minor"/>
      </rPr>
      <t xml:space="preserve"> =</t>
    </r>
  </si>
  <si>
    <t>(dall'intradosso)</t>
  </si>
  <si>
    <t>Altezza della soletta</t>
  </si>
  <si>
    <r>
      <t>A'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</si>
  <si>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 xml:space="preserve">S' = </t>
  </si>
  <si>
    <r>
      <t>ε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' =</t>
    </r>
  </si>
  <si>
    <r>
      <t>σ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' =</t>
    </r>
  </si>
  <si>
    <t>superiore</t>
  </si>
  <si>
    <t>inferiore</t>
  </si>
  <si>
    <t>Armatura</t>
  </si>
  <si>
    <t>Inf.</t>
  </si>
  <si>
    <t>Sup.</t>
  </si>
  <si>
    <r>
      <t>y</t>
    </r>
    <r>
      <rPr>
        <vertAlign val="subscript"/>
        <sz val="10"/>
        <color theme="1"/>
        <rFont val="Calibri"/>
        <family val="2"/>
        <scheme val="minor"/>
      </rPr>
      <t>g'</t>
    </r>
    <r>
      <rPr>
        <sz val="10"/>
        <color theme="1"/>
        <rFont val="Calibri"/>
        <family val="2"/>
        <scheme val="minor"/>
      </rPr>
      <t xml:space="preserve"> =</t>
    </r>
  </si>
  <si>
    <t>(dal copriferro)</t>
  </si>
  <si>
    <t>(positive se di trazione)</t>
  </si>
  <si>
    <t>ISTRUZIONI</t>
  </si>
  <si>
    <t>1) Inserire le dimensioni della sezione (celle verdi)</t>
  </si>
  <si>
    <t>2) Inserire numero e dimensione dell'armatura presente (celle grigie)</t>
  </si>
  <si>
    <t>3) Controllare e modificare caratteristiche cls e acciaio per armatura (celle gialle)</t>
  </si>
  <si>
    <t>4) Inserire il valore delle sollecitazioni agenti nella sezione (celle rosa)</t>
  </si>
  <si>
    <r>
      <t>M</t>
    </r>
    <r>
      <rPr>
        <b/>
        <vertAlign val="subscript"/>
        <sz val="10"/>
        <color theme="1"/>
        <rFont val="Calibri"/>
        <family val="2"/>
        <scheme val="minor"/>
      </rPr>
      <t>Rd</t>
    </r>
    <r>
      <rPr>
        <b/>
        <sz val="10"/>
        <color theme="1"/>
        <rFont val="Calibri"/>
        <family val="2"/>
        <scheme val="minor"/>
      </rPr>
      <t xml:space="preserve"> =</t>
    </r>
  </si>
  <si>
    <t>ε =</t>
  </si>
  <si>
    <r>
      <t>Errore tra N</t>
    </r>
    <r>
      <rPr>
        <vertAlign val="sub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e N</t>
    </r>
    <r>
      <rPr>
        <vertAlign val="subscript"/>
        <sz val="10"/>
        <color theme="1"/>
        <rFont val="Calibri"/>
        <family val="2"/>
        <scheme val="minor"/>
      </rPr>
      <t>Ed</t>
    </r>
    <r>
      <rPr>
        <sz val="10"/>
        <color theme="1"/>
        <rFont val="Calibri"/>
        <family val="2"/>
        <scheme val="minor"/>
      </rPr>
      <t xml:space="preserve"> ammesso </t>
    </r>
  </si>
  <si>
    <t>CALCOLO MOMENTO RESISTENTE NEI TRAVETTI DI SOLAIO</t>
  </si>
  <si>
    <t>5) Premere il tasto "Calcola Momento Resistente"</t>
  </si>
  <si>
    <r>
      <t>6) Controllare che il valore dello N</t>
    </r>
    <r>
      <rPr>
        <vertAlign val="subscript"/>
        <sz val="10"/>
        <color theme="1"/>
        <rFont val="Calibri"/>
        <family val="2"/>
        <scheme val="minor"/>
      </rPr>
      <t>Ed</t>
    </r>
    <r>
      <rPr>
        <sz val="10"/>
        <color theme="1"/>
        <rFont val="Calibri"/>
        <family val="2"/>
        <scheme val="minor"/>
      </rPr>
      <t xml:space="preserve"> sia prossimo a N</t>
    </r>
    <r>
      <rPr>
        <vertAlign val="subscript"/>
        <sz val="10"/>
        <color theme="1"/>
        <rFont val="Calibri"/>
        <family val="2"/>
        <scheme val="minor"/>
      </rPr>
      <t>Rd</t>
    </r>
    <r>
      <rPr>
        <sz val="10"/>
        <color theme="1"/>
        <rFont val="Calibri"/>
        <family val="2"/>
        <scheme val="minor"/>
      </rPr>
      <t xml:space="preserve"> (cella azzurra)</t>
    </r>
  </si>
  <si>
    <t>7) Il valore del momento resistente è riportato nella cella blu</t>
  </si>
  <si>
    <t>Tensione di snerv. dell'acciaio</t>
  </si>
  <si>
    <t>antoniopio.sberna@studenti.polito.it</t>
  </si>
  <si>
    <t>φ [mm]</t>
  </si>
  <si>
    <t>n. [-]</t>
  </si>
  <si>
    <t>[kN·m]</t>
  </si>
  <si>
    <t>0) Abilitare l'esecuzione delle macro</t>
  </si>
  <si>
    <t>Momento positivo</t>
  </si>
  <si>
    <t>Momento negativo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</si>
</sst>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theme="1"/>
      <name val="Calibri"/>
      <family val="2"/>
    </font>
    <font>
      <i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vertAlign val="subscript"/>
      <sz val="10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5" fillId="0" borderId="0" xfId="0" applyFont="1"/>
    <xf numFmtId="0" fontId="0" fillId="8" borderId="0" xfId="0" applyFill="1"/>
    <xf numFmtId="0" fontId="0" fillId="8" borderId="0" xfId="0" applyFill="1" applyProtection="1">
      <protection locked="0"/>
    </xf>
    <xf numFmtId="0" fontId="0" fillId="8" borderId="1" xfId="0" applyFill="1" applyBorder="1"/>
    <xf numFmtId="0" fontId="0" fillId="8" borderId="0" xfId="0" applyFill="1" applyBorder="1"/>
    <xf numFmtId="0" fontId="0" fillId="8" borderId="2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3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" fillId="8" borderId="3" xfId="0" applyFont="1" applyFill="1" applyBorder="1" applyAlignment="1">
      <alignment horizontal="right"/>
    </xf>
    <xf numFmtId="0" fontId="1" fillId="8" borderId="4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0" fillId="5" borderId="0" xfId="0" applyFill="1" applyBorder="1"/>
    <xf numFmtId="0" fontId="0" fillId="5" borderId="4" xfId="0" applyFill="1" applyBorder="1"/>
    <xf numFmtId="0" fontId="0" fillId="4" borderId="0" xfId="0" applyFill="1" applyBorder="1"/>
    <xf numFmtId="0" fontId="0" fillId="4" borderId="4" xfId="0" applyFill="1" applyBorder="1"/>
    <xf numFmtId="0" fontId="1" fillId="6" borderId="4" xfId="0" applyFont="1" applyFill="1" applyBorder="1"/>
    <xf numFmtId="0" fontId="0" fillId="8" borderId="2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8" borderId="9" xfId="0" applyFill="1" applyBorder="1" applyAlignment="1">
      <alignment horizontal="right"/>
    </xf>
    <xf numFmtId="0" fontId="0" fillId="7" borderId="10" xfId="0" applyFill="1" applyBorder="1"/>
    <xf numFmtId="0" fontId="0" fillId="8" borderId="10" xfId="0" applyFill="1" applyBorder="1"/>
    <xf numFmtId="0" fontId="0" fillId="8" borderId="11" xfId="0" applyFill="1" applyBorder="1" applyAlignment="1">
      <alignment horizontal="center" vertical="center"/>
    </xf>
    <xf numFmtId="0" fontId="10" fillId="0" borderId="5" xfId="0" applyFont="1" applyBorder="1" applyAlignment="1">
      <alignment horizontal="center"/>
    </xf>
    <xf numFmtId="0" fontId="11" fillId="8" borderId="0" xfId="0" applyFont="1" applyFill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8" fillId="8" borderId="0" xfId="0" applyFont="1" applyFill="1" applyAlignment="1">
      <alignment horizontal="center"/>
    </xf>
  </cellXfs>
  <cellStyles count="1">
    <cellStyle name="Normale" xfId="0" builtinId="0"/>
  </cellStyles>
  <dxfs count="4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304799</xdr:colOff>
          <xdr:row>14</xdr:row>
          <xdr:rowOff>57151</xdr:rowOff>
        </xdr:from>
        <xdr:to>
          <xdr:col>9</xdr:col>
          <xdr:colOff>247649</xdr:colOff>
          <xdr:row>16</xdr:row>
          <xdr:rowOff>161926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 M</a:t>
              </a:r>
              <a:r>
                <a:rPr lang="it-IT" sz="1000" b="1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Rd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104775</xdr:colOff>
      <xdr:row>41</xdr:row>
      <xdr:rowOff>66675</xdr:rowOff>
    </xdr:from>
    <xdr:to>
      <xdr:col>15</xdr:col>
      <xdr:colOff>247650</xdr:colOff>
      <xdr:row>42</xdr:row>
      <xdr:rowOff>47625</xdr:rowOff>
    </xdr:to>
    <xdr:cxnSp macro="">
      <xdr:nvCxnSpPr>
        <xdr:cNvPr id="3" name="Connettore dirit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7448550" y="7124700"/>
          <a:ext cx="142875" cy="1428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107373</xdr:colOff>
      <xdr:row>41</xdr:row>
      <xdr:rowOff>67540</xdr:rowOff>
    </xdr:from>
    <xdr:to>
      <xdr:col>15</xdr:col>
      <xdr:colOff>307398</xdr:colOff>
      <xdr:row>41</xdr:row>
      <xdr:rowOff>95250</xdr:rowOff>
    </xdr:to>
    <xdr:cxnSp macro="">
      <xdr:nvCxnSpPr>
        <xdr:cNvPr id="6" name="Connettore dirit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7458941" y="7107381"/>
          <a:ext cx="200025" cy="277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103909</xdr:colOff>
      <xdr:row>41</xdr:row>
      <xdr:rowOff>68406</xdr:rowOff>
    </xdr:from>
    <xdr:to>
      <xdr:col>15</xdr:col>
      <xdr:colOff>251114</xdr:colOff>
      <xdr:row>41</xdr:row>
      <xdr:rowOff>138545</xdr:rowOff>
    </xdr:to>
    <xdr:cxnSp macro="">
      <xdr:nvCxnSpPr>
        <xdr:cNvPr id="9" name="Connettore dirit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7455477" y="7108247"/>
          <a:ext cx="147205" cy="7013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AB667-37AE-492D-9537-9FD7FB9D0882}">
  <sheetPr codeName="Foglio1"/>
  <dimension ref="A1:AZ158"/>
  <sheetViews>
    <sheetView tabSelected="1" zoomScaleNormal="100" workbookViewId="0">
      <selection activeCell="C16" sqref="C16"/>
    </sheetView>
  </sheetViews>
  <sheetFormatPr defaultRowHeight="12.75" x14ac:dyDescent="0.2"/>
  <cols>
    <col min="2" max="2" width="4.7109375" customWidth="1"/>
    <col min="3" max="3" width="4.5703125" customWidth="1"/>
    <col min="4" max="4" width="6.42578125" customWidth="1"/>
    <col min="5" max="5" width="9.7109375" customWidth="1"/>
    <col min="6" max="6" width="4.85546875" customWidth="1"/>
    <col min="7" max="7" width="4" bestFit="1" customWidth="1"/>
    <col min="8" max="8" width="7.5703125" bestFit="1" customWidth="1"/>
    <col min="11" max="11" width="5.7109375" customWidth="1"/>
    <col min="12" max="12" width="7.42578125" customWidth="1"/>
    <col min="13" max="13" width="6.28515625" customWidth="1"/>
    <col min="14" max="14" width="12.28515625" customWidth="1"/>
    <col min="19" max="19" width="11.140625" bestFit="1" customWidth="1"/>
  </cols>
  <sheetData>
    <row r="1" spans="1:52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52" ht="18.75" x14ac:dyDescent="0.3">
      <c r="A2" s="3"/>
      <c r="B2" s="3"/>
      <c r="C2" s="3"/>
      <c r="D2" s="3"/>
      <c r="E2" s="3"/>
      <c r="F2" s="37" t="s">
        <v>93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52" x14ac:dyDescent="0.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52" ht="13.5" thickBo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3.5" thickBot="1" x14ac:dyDescent="0.25">
      <c r="A5" s="3"/>
      <c r="B5" s="38" t="s">
        <v>0</v>
      </c>
      <c r="C5" s="39"/>
      <c r="D5" s="39"/>
      <c r="E5" s="39"/>
      <c r="F5" s="39"/>
      <c r="G5" s="39"/>
      <c r="H5" s="40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3.5" thickBot="1" x14ac:dyDescent="0.25">
      <c r="A6" s="3"/>
      <c r="B6" s="5" t="s">
        <v>72</v>
      </c>
      <c r="C6" s="6"/>
      <c r="D6" s="6"/>
      <c r="E6" s="6"/>
      <c r="F6" s="6" t="s">
        <v>54</v>
      </c>
      <c r="G6" s="6"/>
      <c r="H6" s="7"/>
      <c r="I6" s="3"/>
      <c r="J6" s="3"/>
      <c r="K6" s="38" t="s">
        <v>52</v>
      </c>
      <c r="L6" s="39"/>
      <c r="M6" s="40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1:52" ht="14.25" x14ac:dyDescent="0.25">
      <c r="A7" s="3"/>
      <c r="B7" s="11" t="s">
        <v>1</v>
      </c>
      <c r="C7" s="16">
        <v>50</v>
      </c>
      <c r="D7" s="6" t="s">
        <v>2</v>
      </c>
      <c r="E7" s="6"/>
      <c r="F7" s="12" t="s">
        <v>55</v>
      </c>
      <c r="G7" s="16">
        <v>220</v>
      </c>
      <c r="H7" s="7" t="s">
        <v>2</v>
      </c>
      <c r="I7" s="3"/>
      <c r="J7" s="3"/>
      <c r="K7" s="11" t="s">
        <v>37</v>
      </c>
      <c r="L7" s="6">
        <f xml:space="preserve"> x_u</f>
        <v>41.052424650896022</v>
      </c>
      <c r="M7" s="7" t="s">
        <v>2</v>
      </c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1:52" ht="15" thickBot="1" x14ac:dyDescent="0.3">
      <c r="A8" s="3"/>
      <c r="B8" s="5" t="s">
        <v>61</v>
      </c>
      <c r="C8" s="6"/>
      <c r="D8" s="6"/>
      <c r="E8" s="6"/>
      <c r="F8" s="6" t="s">
        <v>60</v>
      </c>
      <c r="G8" s="6"/>
      <c r="H8" s="7"/>
      <c r="I8" s="3"/>
      <c r="J8" s="3"/>
      <c r="K8" s="10" t="s">
        <v>51</v>
      </c>
      <c r="L8" s="8">
        <f xml:space="preserve"> x_u / d</f>
        <v>0.1784888028299827</v>
      </c>
      <c r="M8" s="9" t="s">
        <v>44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1:52" ht="14.25" x14ac:dyDescent="0.25">
      <c r="A9" s="3"/>
      <c r="B9" s="11" t="s">
        <v>3</v>
      </c>
      <c r="C9" s="16">
        <v>500</v>
      </c>
      <c r="D9" s="6" t="s">
        <v>2</v>
      </c>
      <c r="E9" s="6"/>
      <c r="F9" s="12" t="s">
        <v>56</v>
      </c>
      <c r="G9" s="16">
        <v>100</v>
      </c>
      <c r="H9" s="7" t="s">
        <v>2</v>
      </c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1:52" x14ac:dyDescent="0.2">
      <c r="A10" s="3"/>
      <c r="B10" s="5" t="s">
        <v>4</v>
      </c>
      <c r="C10" s="6"/>
      <c r="D10" s="6"/>
      <c r="E10" s="6"/>
      <c r="F10" s="6"/>
      <c r="G10" s="6"/>
      <c r="H10" s="7"/>
      <c r="I10" s="3"/>
      <c r="J10" s="3"/>
      <c r="K10" s="3"/>
      <c r="L10" s="3"/>
      <c r="M10" s="4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1:52" ht="13.5" thickBot="1" x14ac:dyDescent="0.25">
      <c r="A11" s="3"/>
      <c r="B11" s="10" t="s">
        <v>5</v>
      </c>
      <c r="C11" s="17">
        <v>40</v>
      </c>
      <c r="D11" s="8" t="s">
        <v>2</v>
      </c>
      <c r="E11" s="8"/>
      <c r="F11" s="8"/>
      <c r="G11" s="8"/>
      <c r="H11" s="9"/>
      <c r="I11" s="3"/>
      <c r="J11" s="3"/>
      <c r="K11" s="3"/>
      <c r="L11" s="3"/>
      <c r="M11" s="4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1:52" ht="13.5" thickBot="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41" t="s">
        <v>103</v>
      </c>
      <c r="L12" s="42"/>
      <c r="M12" s="42"/>
      <c r="N12" s="43"/>
      <c r="O12" s="3"/>
      <c r="P12" s="41" t="s">
        <v>104</v>
      </c>
      <c r="Q12" s="42"/>
      <c r="R12" s="42"/>
      <c r="S12" s="4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1:52" ht="15" thickBot="1" x14ac:dyDescent="0.3">
      <c r="A13" s="3"/>
      <c r="B13" s="38" t="s">
        <v>79</v>
      </c>
      <c r="C13" s="39"/>
      <c r="D13" s="40"/>
      <c r="E13" s="3"/>
      <c r="F13" s="3"/>
      <c r="G13" s="3"/>
      <c r="H13" s="3"/>
      <c r="I13" s="3"/>
      <c r="J13" s="3"/>
      <c r="K13" s="32" t="s">
        <v>32</v>
      </c>
      <c r="L13" s="33">
        <f>ROUND(N_rd,1)</f>
        <v>0</v>
      </c>
      <c r="M13" s="34" t="s">
        <v>16</v>
      </c>
      <c r="N13" s="35" t="str">
        <f>IF(ABS(L13)&lt;N_ed+eps, IF(ABS(L13)&gt;N_ed-eps, "OK!","Attenzione!"), "Attenzione!")</f>
        <v>OK!</v>
      </c>
      <c r="O13" s="3"/>
      <c r="P13" s="32" t="s">
        <v>32</v>
      </c>
      <c r="Q13" s="33">
        <f>ROUND(N_Rd2,1)</f>
        <v>0</v>
      </c>
      <c r="R13" s="34" t="s">
        <v>16</v>
      </c>
      <c r="S13" s="35" t="str">
        <f>IF(ABS(Q13)&lt;N_ed+eps, IF(ABS(Q13)&gt;N_ed-eps, "OK!","Attenzione!"), "Attenzione!")</f>
        <v>OK!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1:52" ht="15.75" thickBot="1" x14ac:dyDescent="0.3">
      <c r="A14" s="3"/>
      <c r="B14" s="24"/>
      <c r="C14" s="25" t="s">
        <v>100</v>
      </c>
      <c r="D14" s="23" t="s">
        <v>99</v>
      </c>
      <c r="E14" s="3"/>
      <c r="F14" s="3"/>
      <c r="G14" s="3"/>
      <c r="H14" s="3"/>
      <c r="I14" s="3"/>
      <c r="J14" s="3"/>
      <c r="K14" s="14" t="s">
        <v>90</v>
      </c>
      <c r="L14" s="22">
        <f xml:space="preserve"> ROUND(M_rd,3)</f>
        <v>51.176000000000002</v>
      </c>
      <c r="M14" s="15" t="s">
        <v>101</v>
      </c>
      <c r="N14" s="36" t="str">
        <f>IF(M_ed&lt;L14, "ACCETTATA","RIGETTATA")</f>
        <v>ACCETTATA</v>
      </c>
      <c r="O14" s="3"/>
      <c r="P14" s="14" t="s">
        <v>90</v>
      </c>
      <c r="Q14" s="22">
        <f xml:space="preserve"> ROUND(M_rd2,3)</f>
        <v>-11.999000000000001</v>
      </c>
      <c r="R14" s="15" t="s">
        <v>101</v>
      </c>
      <c r="S14" s="36" t="str">
        <f>IF(M_ed&lt;Q14, "ACCETTATA","RIGETTATA")</f>
        <v>RIGETTATA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1:52" x14ac:dyDescent="0.2">
      <c r="A15" s="3"/>
      <c r="B15" s="26" t="s">
        <v>81</v>
      </c>
      <c r="C15" s="27">
        <v>2</v>
      </c>
      <c r="D15" s="28">
        <v>14</v>
      </c>
      <c r="E15" s="3"/>
      <c r="F15" s="3"/>
      <c r="G15" s="3"/>
      <c r="H15" s="3"/>
      <c r="I15" s="3"/>
      <c r="J15" s="3"/>
      <c r="K15" s="3"/>
      <c r="L15" s="3"/>
      <c r="M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1:52" ht="13.5" thickBot="1" x14ac:dyDescent="0.25">
      <c r="A16" s="3"/>
      <c r="B16" s="29" t="s">
        <v>80</v>
      </c>
      <c r="C16" s="30">
        <v>4</v>
      </c>
      <c r="D16" s="31">
        <v>14</v>
      </c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1:52" ht="13.5" thickBo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1:52" ht="13.5" thickBot="1" x14ac:dyDescent="0.25">
      <c r="A18" s="3"/>
      <c r="B18" s="38" t="s">
        <v>8</v>
      </c>
      <c r="C18" s="39"/>
      <c r="D18" s="39"/>
      <c r="E18" s="40"/>
      <c r="F18" s="3"/>
      <c r="G18" s="3"/>
      <c r="H18" s="3"/>
      <c r="I18" s="3"/>
      <c r="J18" s="3"/>
      <c r="K18" s="44" t="s">
        <v>85</v>
      </c>
      <c r="L18" s="44"/>
      <c r="M18" s="44"/>
      <c r="N18" s="44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1:52" x14ac:dyDescent="0.2">
      <c r="A19" s="3"/>
      <c r="B19" s="5" t="s">
        <v>9</v>
      </c>
      <c r="C19" s="6"/>
      <c r="D19" s="6"/>
      <c r="E19" s="7"/>
      <c r="F19" s="3"/>
      <c r="G19" s="3"/>
      <c r="H19" s="3"/>
      <c r="I19" s="3"/>
      <c r="J19" s="3"/>
      <c r="K19" t="s">
        <v>102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1:52" ht="14.25" x14ac:dyDescent="0.25">
      <c r="A20" s="3"/>
      <c r="B20" s="11" t="s">
        <v>10</v>
      </c>
      <c r="C20" s="20">
        <v>25</v>
      </c>
      <c r="D20" s="6" t="s">
        <v>11</v>
      </c>
      <c r="E20" s="7"/>
      <c r="F20" s="3"/>
      <c r="G20" s="3"/>
      <c r="H20" s="3"/>
      <c r="I20" s="3"/>
      <c r="J20" s="3"/>
      <c r="K20" s="3" t="s">
        <v>86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1:52" x14ac:dyDescent="0.2">
      <c r="A21" s="3"/>
      <c r="B21" s="13" t="s">
        <v>97</v>
      </c>
      <c r="C21" s="6"/>
      <c r="D21" s="6"/>
      <c r="E21" s="7"/>
      <c r="F21" s="3"/>
      <c r="G21" s="3"/>
      <c r="I21" s="3"/>
      <c r="J21" s="3"/>
      <c r="K21" s="3" t="s">
        <v>87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1:52" ht="15" thickBot="1" x14ac:dyDescent="0.3">
      <c r="A22" s="3"/>
      <c r="B22" s="10" t="s">
        <v>12</v>
      </c>
      <c r="C22" s="21">
        <v>450</v>
      </c>
      <c r="D22" s="8" t="s">
        <v>11</v>
      </c>
      <c r="E22" s="9"/>
      <c r="F22" s="3"/>
      <c r="G22" s="3"/>
      <c r="H22" s="3"/>
      <c r="I22" s="3"/>
      <c r="J22" s="3"/>
      <c r="K22" s="3" t="s">
        <v>88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1:52" x14ac:dyDescent="0.2">
      <c r="A23" s="3"/>
      <c r="B23" s="3"/>
      <c r="C23" s="3"/>
      <c r="D23" s="3"/>
      <c r="E23" s="3"/>
      <c r="F23" s="3"/>
      <c r="G23" s="3"/>
      <c r="H23" s="3"/>
      <c r="I23" s="3"/>
      <c r="J23" s="3"/>
      <c r="K23" s="3" t="s">
        <v>89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1:52" ht="13.5" thickBo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 t="s">
        <v>94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1:52" ht="15" thickBot="1" x14ac:dyDescent="0.3">
      <c r="A25" s="3"/>
      <c r="B25" s="38" t="s">
        <v>13</v>
      </c>
      <c r="C25" s="39"/>
      <c r="D25" s="40"/>
      <c r="E25" s="3"/>
      <c r="F25" s="3"/>
      <c r="G25" s="3"/>
      <c r="H25" s="3"/>
      <c r="I25" s="3"/>
      <c r="J25" s="3"/>
      <c r="K25" s="3" t="s">
        <v>95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1:52" ht="14.25" x14ac:dyDescent="0.25">
      <c r="A26" s="3"/>
      <c r="B26" s="11" t="s">
        <v>14</v>
      </c>
      <c r="C26" s="18">
        <v>0</v>
      </c>
      <c r="D26" s="7" t="s">
        <v>16</v>
      </c>
      <c r="E26" s="3"/>
      <c r="F26" s="3"/>
      <c r="G26" s="3"/>
      <c r="H26" s="3"/>
      <c r="I26" s="3"/>
      <c r="J26" s="3"/>
      <c r="K26" s="3" t="s">
        <v>96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1:52" ht="15" thickBot="1" x14ac:dyDescent="0.3">
      <c r="A27" s="3"/>
      <c r="B27" s="10" t="s">
        <v>15</v>
      </c>
      <c r="C27" s="19">
        <v>0</v>
      </c>
      <c r="D27" s="9" t="s">
        <v>101</v>
      </c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1:52" x14ac:dyDescent="0.2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1:52" x14ac:dyDescent="0.2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1:52" x14ac:dyDescent="0.2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1:52" x14ac:dyDescent="0.2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1:52" x14ac:dyDescent="0.2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1:52" x14ac:dyDescent="0.2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1:52" x14ac:dyDescent="0.2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1:52" x14ac:dyDescent="0.2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1:52" x14ac:dyDescent="0.2">
      <c r="A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1:52" x14ac:dyDescent="0.2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1:52" x14ac:dyDescent="0.2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1:52" x14ac:dyDescent="0.2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1:52" x14ac:dyDescent="0.2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1:52" x14ac:dyDescent="0.2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 t="s">
        <v>98</v>
      </c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1:52" x14ac:dyDescent="0.2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1:52" x14ac:dyDescent="0.2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1:52" x14ac:dyDescent="0.2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1:52" x14ac:dyDescent="0.2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1:52" x14ac:dyDescent="0.2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1:52" x14ac:dyDescent="0.2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1:52" x14ac:dyDescent="0.2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1:52" x14ac:dyDescent="0.2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1:52" x14ac:dyDescent="0.2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1:52" x14ac:dyDescent="0.2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1:52" x14ac:dyDescent="0.2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1:52" x14ac:dyDescent="0.2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1:52" x14ac:dyDescent="0.2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1:52" x14ac:dyDescent="0.2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1:52" x14ac:dyDescent="0.2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1:52" x14ac:dyDescent="0.2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1:52" x14ac:dyDescent="0.2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1:52" x14ac:dyDescent="0.2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1:52" x14ac:dyDescent="0.2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1:52" x14ac:dyDescent="0.2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1:52" x14ac:dyDescent="0.2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1:52" x14ac:dyDescent="0.2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1:52" x14ac:dyDescent="0.2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1:52" x14ac:dyDescent="0.2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1:52" x14ac:dyDescent="0.2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1:52" x14ac:dyDescent="0.2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1:52" x14ac:dyDescent="0.2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1:52" x14ac:dyDescent="0.2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1:52" x14ac:dyDescent="0.2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1:52" x14ac:dyDescent="0.2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1:52" x14ac:dyDescent="0.2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1:52" x14ac:dyDescent="0.2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1:52" x14ac:dyDescent="0.2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1:52" x14ac:dyDescent="0.2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1:52" x14ac:dyDescent="0.2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1:52" x14ac:dyDescent="0.2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1:52" x14ac:dyDescent="0.2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1:52" x14ac:dyDescent="0.2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1:52" x14ac:dyDescent="0.2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1:52" x14ac:dyDescent="0.2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1:52" x14ac:dyDescent="0.2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1:52" x14ac:dyDescent="0.2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1:52" x14ac:dyDescent="0.2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1:52" x14ac:dyDescent="0.2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1:52" x14ac:dyDescent="0.2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1:52" x14ac:dyDescent="0.2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1:52" x14ac:dyDescent="0.2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1:52" x14ac:dyDescent="0.2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1:52" x14ac:dyDescent="0.2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1:52" x14ac:dyDescent="0.2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1:52" x14ac:dyDescent="0.2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1:52" x14ac:dyDescent="0.2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1:52" x14ac:dyDescent="0.2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1:52" x14ac:dyDescent="0.2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1:52" x14ac:dyDescent="0.2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1:52" x14ac:dyDescent="0.2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1:52" x14ac:dyDescent="0.2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1:52" x14ac:dyDescent="0.2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1:52" x14ac:dyDescent="0.2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1:52" x14ac:dyDescent="0.2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1:52" x14ac:dyDescent="0.2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1:52" x14ac:dyDescent="0.2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1:52" x14ac:dyDescent="0.2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1:52" x14ac:dyDescent="0.2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1:52" x14ac:dyDescent="0.2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1:52" x14ac:dyDescent="0.2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1:52" x14ac:dyDescent="0.2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1:52" x14ac:dyDescent="0.2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1:52" x14ac:dyDescent="0.2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1:52" x14ac:dyDescent="0.2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1:52" x14ac:dyDescent="0.2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1:52" x14ac:dyDescent="0.2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1:52" x14ac:dyDescent="0.2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1:52" x14ac:dyDescent="0.2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1:52" x14ac:dyDescent="0.2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1:52" x14ac:dyDescent="0.2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1:52" x14ac:dyDescent="0.2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1:52" x14ac:dyDescent="0.2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1:52" x14ac:dyDescent="0.2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1:52" x14ac:dyDescent="0.2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1:52" x14ac:dyDescent="0.2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1:52" x14ac:dyDescent="0.2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1:52" x14ac:dyDescent="0.2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1:52" x14ac:dyDescent="0.2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1:52" x14ac:dyDescent="0.2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1:52" x14ac:dyDescent="0.2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1:52" x14ac:dyDescent="0.2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1:52" x14ac:dyDescent="0.2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1:52" x14ac:dyDescent="0.2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1:52" x14ac:dyDescent="0.2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1:52" x14ac:dyDescent="0.2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1:52" x14ac:dyDescent="0.2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1:52" x14ac:dyDescent="0.2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1:52" x14ac:dyDescent="0.2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1:52" x14ac:dyDescent="0.2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1:52" x14ac:dyDescent="0.2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1:52" x14ac:dyDescent="0.2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1:52" x14ac:dyDescent="0.2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1:52" x14ac:dyDescent="0.2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1:52" x14ac:dyDescent="0.2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1:52" x14ac:dyDescent="0.2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1:52" x14ac:dyDescent="0.2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1:52" x14ac:dyDescent="0.2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1:52" x14ac:dyDescent="0.2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1:52" x14ac:dyDescent="0.2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1:52" x14ac:dyDescent="0.2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1:52" x14ac:dyDescent="0.2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1:52" x14ac:dyDescent="0.2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1:52" x14ac:dyDescent="0.2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1:52" x14ac:dyDescent="0.2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1:52" x14ac:dyDescent="0.2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1:52" x14ac:dyDescent="0.2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1:52" x14ac:dyDescent="0.2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1:52" x14ac:dyDescent="0.2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1:52" x14ac:dyDescent="0.2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1:52" x14ac:dyDescent="0.2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1:52" x14ac:dyDescent="0.2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</sheetData>
  <sheetProtection algorithmName="SHA-512" hashValue="icTa46uqx1iD5JuVfSaqKcbd4HzOTnuloLgaB6k1lN3VvOfrFlsu5CKYGL0jCSHpslc9C1kI+f9O3S5TAENE6Q==" saltValue="EAiyoSIIJw8pdot9pi4o1w==" spinCount="100000" sheet="1" objects="1" scenarios="1"/>
  <protectedRanges>
    <protectedRange sqref="C26:C27" name="Azioni agenti"/>
    <protectedRange sqref="C20 C22" name="Materiali"/>
    <protectedRange sqref="C15:D16" name="Armatura"/>
    <protectedRange sqref="C7 C9 C11 G9 G7" name="Geometria"/>
  </protectedRanges>
  <mergeCells count="8">
    <mergeCell ref="P12:S12"/>
    <mergeCell ref="B13:D13"/>
    <mergeCell ref="B5:H5"/>
    <mergeCell ref="K6:M6"/>
    <mergeCell ref="B18:E18"/>
    <mergeCell ref="B25:D25"/>
    <mergeCell ref="K12:N12"/>
    <mergeCell ref="K18:N18"/>
  </mergeCells>
  <conditionalFormatting sqref="N14">
    <cfRule type="containsText" dxfId="3" priority="3" operator="containsText" text="RIGETTATA">
      <formula>NOT(ISERROR(SEARCH("RIGETTATA",N14)))</formula>
    </cfRule>
    <cfRule type="containsText" dxfId="2" priority="4" operator="containsText" text="ACCETTATA">
      <formula>NOT(ISERROR(SEARCH("ACCETTATA",N14)))</formula>
    </cfRule>
  </conditionalFormatting>
  <conditionalFormatting sqref="S14">
    <cfRule type="containsText" dxfId="1" priority="1" operator="containsText" text="RIGETTATA">
      <formula>NOT(ISERROR(SEARCH("RIGETTATA",S14)))</formula>
    </cfRule>
    <cfRule type="containsText" dxfId="0" priority="2" operator="containsText" text="ACCETTATA">
      <formula>NOT(ISERROR(SEARCH("ACCETTATA",S14)))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o1.M_rd">
                <anchor moveWithCells="1" sizeWithCells="1">
                  <from>
                    <xdr:col>5</xdr:col>
                    <xdr:colOff>304800</xdr:colOff>
                    <xdr:row>14</xdr:row>
                    <xdr:rowOff>57150</xdr:rowOff>
                  </from>
                  <to>
                    <xdr:col>9</xdr:col>
                    <xdr:colOff>247650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70750-092F-4C06-8391-A5B0DE173802}">
  <sheetPr codeName="Foglio2"/>
  <dimension ref="B3:L20"/>
  <sheetViews>
    <sheetView workbookViewId="0">
      <selection activeCell="C26" sqref="C26"/>
    </sheetView>
  </sheetViews>
  <sheetFormatPr defaultRowHeight="12.75" x14ac:dyDescent="0.2"/>
  <cols>
    <col min="2" max="2" width="4.5703125" customWidth="1"/>
    <col min="3" max="3" width="6.5703125" customWidth="1"/>
    <col min="9" max="9" width="4" bestFit="1" customWidth="1"/>
    <col min="10" max="10" width="7" bestFit="1" customWidth="1"/>
    <col min="11" max="11" width="2.7109375" bestFit="1" customWidth="1"/>
  </cols>
  <sheetData>
    <row r="3" spans="2:12" x14ac:dyDescent="0.2">
      <c r="B3" t="s">
        <v>18</v>
      </c>
      <c r="I3" t="s">
        <v>45</v>
      </c>
    </row>
    <row r="4" spans="2:12" ht="14.25" x14ac:dyDescent="0.25">
      <c r="B4" t="s">
        <v>19</v>
      </c>
      <c r="C4">
        <v>200</v>
      </c>
      <c r="D4" t="s">
        <v>20</v>
      </c>
      <c r="I4" t="s">
        <v>42</v>
      </c>
      <c r="J4">
        <v>0.80959999999999999</v>
      </c>
      <c r="K4" t="s">
        <v>44</v>
      </c>
    </row>
    <row r="5" spans="2:12" ht="14.25" x14ac:dyDescent="0.25">
      <c r="B5" t="s">
        <v>21</v>
      </c>
      <c r="I5" t="s">
        <v>43</v>
      </c>
      <c r="J5">
        <v>0.41599999999999998</v>
      </c>
      <c r="K5" t="s">
        <v>44</v>
      </c>
    </row>
    <row r="6" spans="2:12" ht="14.25" x14ac:dyDescent="0.25">
      <c r="B6" t="s">
        <v>22</v>
      </c>
      <c r="C6">
        <v>1.96</v>
      </c>
      <c r="D6" t="s">
        <v>23</v>
      </c>
    </row>
    <row r="9" spans="2:12" ht="14.25" x14ac:dyDescent="0.25">
      <c r="I9" t="s">
        <v>91</v>
      </c>
      <c r="J9">
        <v>0.01</v>
      </c>
      <c r="K9" t="s">
        <v>44</v>
      </c>
      <c r="L9" t="s">
        <v>92</v>
      </c>
    </row>
    <row r="10" spans="2:12" x14ac:dyDescent="0.2">
      <c r="B10" t="s">
        <v>24</v>
      </c>
    </row>
    <row r="11" spans="2:12" ht="14.25" x14ac:dyDescent="0.25">
      <c r="B11" t="s">
        <v>25</v>
      </c>
      <c r="C11">
        <f xml:space="preserve"> 0.85*f_ck/1.5</f>
        <v>14.166666666666666</v>
      </c>
      <c r="D11" t="s">
        <v>11</v>
      </c>
    </row>
    <row r="12" spans="2:12" x14ac:dyDescent="0.2">
      <c r="B12" t="s">
        <v>26</v>
      </c>
    </row>
    <row r="13" spans="2:12" ht="14.25" x14ac:dyDescent="0.25">
      <c r="B13" t="s">
        <v>27</v>
      </c>
      <c r="C13">
        <f>f_yk/1.15</f>
        <v>391.304347826087</v>
      </c>
      <c r="D13" t="s">
        <v>11</v>
      </c>
    </row>
    <row r="16" spans="2:12" x14ac:dyDescent="0.2">
      <c r="B16" t="s">
        <v>28</v>
      </c>
    </row>
    <row r="17" spans="2:4" x14ac:dyDescent="0.2">
      <c r="B17" t="s">
        <v>29</v>
      </c>
      <c r="C17">
        <f>h + h_w - d_prime</f>
        <v>230</v>
      </c>
      <c r="D17" t="s">
        <v>2</v>
      </c>
    </row>
    <row r="19" spans="2:4" x14ac:dyDescent="0.2">
      <c r="B19" t="s">
        <v>30</v>
      </c>
    </row>
    <row r="20" spans="2:4" ht="14.25" x14ac:dyDescent="0.25">
      <c r="B20" t="s">
        <v>31</v>
      </c>
      <c r="C20">
        <v>-3.5</v>
      </c>
      <c r="D20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B3053-08A2-42EE-9571-243DF11BDEB0}">
  <sheetPr codeName="Foglio3"/>
  <dimension ref="B2:O29"/>
  <sheetViews>
    <sheetView workbookViewId="0">
      <selection activeCell="C4" sqref="C4"/>
    </sheetView>
  </sheetViews>
  <sheetFormatPr defaultRowHeight="12.75" x14ac:dyDescent="0.2"/>
  <cols>
    <col min="9" max="9" width="12.28515625" bestFit="1" customWidth="1"/>
  </cols>
  <sheetData>
    <row r="2" spans="2:15" x14ac:dyDescent="0.2">
      <c r="B2" t="s">
        <v>36</v>
      </c>
    </row>
    <row r="3" spans="2:15" ht="14.25" x14ac:dyDescent="0.25">
      <c r="B3" t="s">
        <v>37</v>
      </c>
      <c r="C3">
        <v>41.052424650896022</v>
      </c>
      <c r="D3" t="s">
        <v>2</v>
      </c>
      <c r="H3" t="s">
        <v>14</v>
      </c>
      <c r="I3">
        <f>N_ed</f>
        <v>0</v>
      </c>
      <c r="J3" t="s">
        <v>16</v>
      </c>
    </row>
    <row r="4" spans="2:15" x14ac:dyDescent="0.2">
      <c r="E4" t="s">
        <v>53</v>
      </c>
    </row>
    <row r="6" spans="2:15" x14ac:dyDescent="0.2">
      <c r="B6" s="1" t="s">
        <v>34</v>
      </c>
      <c r="H6" t="s">
        <v>48</v>
      </c>
    </row>
    <row r="7" spans="2:15" ht="14.25" x14ac:dyDescent="0.25">
      <c r="B7" t="s">
        <v>35</v>
      </c>
      <c r="H7" t="s">
        <v>33</v>
      </c>
      <c r="I7">
        <f xml:space="preserve"> IF(x_u &lt;= h, (ABS(S) * (y_gprime) - C_1 * (d -y_c1-y_gprime) - S_prime * (d-d_prime-y_gprime))/1000, (ABS(S) * (y_gprime) - C_1 * (d -y_c1-y_gprime) - S_prime * (d-d_prime-y_gprime) + C_2 * (d-y_gprime -y_c2))/1000)</f>
        <v>51.176241080121578</v>
      </c>
      <c r="J7" t="s">
        <v>17</v>
      </c>
    </row>
    <row r="8" spans="2:15" ht="14.25" x14ac:dyDescent="0.25">
      <c r="B8" t="s">
        <v>38</v>
      </c>
      <c r="C8">
        <f xml:space="preserve"> -(epsilon_c/x_u)* (d-x_u)</f>
        <v>16.10907319958822</v>
      </c>
      <c r="D8" t="s">
        <v>23</v>
      </c>
      <c r="H8" t="s">
        <v>49</v>
      </c>
    </row>
    <row r="9" spans="2:15" ht="14.25" x14ac:dyDescent="0.25">
      <c r="B9" t="s">
        <v>75</v>
      </c>
      <c r="C9">
        <f xml:space="preserve"> -(epsilon_c/x_u)* (d_prime-x_u)</f>
        <v>-8.9726400071613782E-2</v>
      </c>
      <c r="D9" t="s">
        <v>23</v>
      </c>
      <c r="H9" t="s">
        <v>32</v>
      </c>
      <c r="I9">
        <f>IF(x_u&lt;=h, C_1 +S + S_prime, C_1 - C_2 + S + S_prime)</f>
        <v>-3.9626573671380783E-4</v>
      </c>
      <c r="J9" t="s">
        <v>16</v>
      </c>
    </row>
    <row r="10" spans="2:15" ht="14.25" x14ac:dyDescent="0.25">
      <c r="B10" t="s">
        <v>57</v>
      </c>
      <c r="C10">
        <f xml:space="preserve"> (epsilon_c/x_u) * h</f>
        <v>-4.2628419999104832</v>
      </c>
      <c r="D10" t="s">
        <v>23</v>
      </c>
    </row>
    <row r="11" spans="2:15" x14ac:dyDescent="0.2">
      <c r="B11" t="s">
        <v>62</v>
      </c>
      <c r="C11">
        <f>ABS(C10/2)</f>
        <v>2.1314209999552416</v>
      </c>
      <c r="D11" t="s">
        <v>44</v>
      </c>
    </row>
    <row r="13" spans="2:15" x14ac:dyDescent="0.2">
      <c r="B13" s="1" t="s">
        <v>58</v>
      </c>
      <c r="J13" s="2"/>
    </row>
    <row r="14" spans="2:15" ht="14.25" x14ac:dyDescent="0.25">
      <c r="B14" t="s">
        <v>63</v>
      </c>
      <c r="C14">
        <f xml:space="preserve"> IF(-2&lt;C10&lt;0, (eta/3)* (3-eta),1- (1/(3*eta)))</f>
        <v>0.84360981085372944</v>
      </c>
      <c r="N14" s="1" t="s">
        <v>69</v>
      </c>
    </row>
    <row r="15" spans="2:15" ht="14.25" x14ac:dyDescent="0.25">
      <c r="B15" t="s">
        <v>64</v>
      </c>
      <c r="C15">
        <f xml:space="preserve"> IF(-2&lt;C10&lt;0, (4-eta)/(12-4*eta), (6*eta^2 - 4*eta + 1)/(12*eta^2 - 4*eta))</f>
        <v>0.42905289227651239</v>
      </c>
      <c r="I15" s="1" t="s">
        <v>59</v>
      </c>
      <c r="N15" t="s">
        <v>70</v>
      </c>
      <c r="O15">
        <f>((b_w*h_w)*(h_w/2)+b*h*(h_w+h/2))/(h_w*b_w+h*b)</f>
        <v>181.80851063829786</v>
      </c>
    </row>
    <row r="16" spans="2:15" ht="15.75" x14ac:dyDescent="0.25">
      <c r="I16" t="s">
        <v>73</v>
      </c>
      <c r="J16">
        <f xml:space="preserve"> 'Input - Output'!C15 * PI() * ('Input - Output'!D15/2)^2</f>
        <v>307.8760800517997</v>
      </c>
      <c r="K16" t="s">
        <v>7</v>
      </c>
      <c r="L16" t="s">
        <v>77</v>
      </c>
      <c r="N16" t="s">
        <v>71</v>
      </c>
    </row>
    <row r="17" spans="2:15" ht="15.75" x14ac:dyDescent="0.25">
      <c r="B17" s="1" t="s">
        <v>39</v>
      </c>
      <c r="I17" t="s">
        <v>6</v>
      </c>
      <c r="J17">
        <f>'Input - Output'!C16*PI()*('Input - Output'!D16/2)^2</f>
        <v>615.75216010359941</v>
      </c>
      <c r="K17" t="s">
        <v>7</v>
      </c>
      <c r="L17" t="s">
        <v>78</v>
      </c>
      <c r="N17" t="s">
        <v>82</v>
      </c>
      <c r="O17">
        <f>y_g - d_prime</f>
        <v>141.80851063829786</v>
      </c>
    </row>
    <row r="18" spans="2:15" x14ac:dyDescent="0.2">
      <c r="B18" t="s">
        <v>35</v>
      </c>
      <c r="H18" t="s">
        <v>53</v>
      </c>
      <c r="N18" t="s">
        <v>83</v>
      </c>
    </row>
    <row r="19" spans="2:15" ht="14.25" x14ac:dyDescent="0.25">
      <c r="B19" t="s">
        <v>40</v>
      </c>
      <c r="C19">
        <f xml:space="preserve"> IF(-epsilon_yd &lt;= epsilon_s, IF(epsilon_s &lt;= epsilon_yd, epsilon_s * E_s, f_yd),f_yd)</f>
        <v>391.304347826087</v>
      </c>
      <c r="D19" t="s">
        <v>11</v>
      </c>
    </row>
    <row r="20" spans="2:15" ht="14.25" x14ac:dyDescent="0.25">
      <c r="B20" t="s">
        <v>76</v>
      </c>
      <c r="C20">
        <f xml:space="preserve"> IF(-epsilon_yd &lt;= epsilon_sprime, IF(epsilon_sprime &lt;= epsilon_yd, epsilon_sprime * E_s, f_yd),f_yd)</f>
        <v>-17.945280014322755</v>
      </c>
      <c r="D20" t="s">
        <v>11</v>
      </c>
    </row>
    <row r="23" spans="2:15" x14ac:dyDescent="0.2">
      <c r="B23" s="1" t="s">
        <v>41</v>
      </c>
      <c r="C23" t="s">
        <v>84</v>
      </c>
    </row>
    <row r="24" spans="2:15" x14ac:dyDescent="0.2">
      <c r="B24" t="s">
        <v>46</v>
      </c>
      <c r="E24" t="s">
        <v>50</v>
      </c>
    </row>
    <row r="25" spans="2:15" ht="14.25" x14ac:dyDescent="0.25">
      <c r="B25" t="s">
        <v>66</v>
      </c>
      <c r="C25">
        <f>-beta_1*f_cd*b*x_u/1000</f>
        <v>-235.4219712313384</v>
      </c>
      <c r="D25" t="s">
        <v>16</v>
      </c>
      <c r="E25" t="s">
        <v>67</v>
      </c>
      <c r="F25">
        <f xml:space="preserve"> beta_2 * x_u</f>
        <v>17.077808654772745</v>
      </c>
      <c r="G25" t="s">
        <v>2</v>
      </c>
    </row>
    <row r="26" spans="2:15" ht="14.25" x14ac:dyDescent="0.25">
      <c r="B26" t="s">
        <v>65</v>
      </c>
      <c r="C26">
        <f>(beta_eps1*f_cd * (x_u-h) * (b-b_w))/1000</f>
        <v>-42.773486637856891</v>
      </c>
      <c r="D26" t="s">
        <v>16</v>
      </c>
      <c r="E26" t="s">
        <v>68</v>
      </c>
      <c r="F26">
        <f xml:space="preserve"> h+ beta_eps2*(x_u-h)</f>
        <v>46.161016917604911</v>
      </c>
      <c r="G26" t="s">
        <v>2</v>
      </c>
    </row>
    <row r="27" spans="2:15" x14ac:dyDescent="0.2">
      <c r="B27" t="s">
        <v>35</v>
      </c>
    </row>
    <row r="28" spans="2:15" x14ac:dyDescent="0.2">
      <c r="B28" t="s">
        <v>47</v>
      </c>
      <c r="C28">
        <f>sigma_s * A_s /1000</f>
        <v>240.94649743184328</v>
      </c>
      <c r="D28" t="s">
        <v>16</v>
      </c>
    </row>
    <row r="29" spans="2:15" x14ac:dyDescent="0.2">
      <c r="B29" t="s">
        <v>74</v>
      </c>
      <c r="C29">
        <f xml:space="preserve"> sigma_sprime * A_sprime/1000</f>
        <v>-5.5249224662415939</v>
      </c>
      <c r="D29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95478-8D17-4911-8D20-84172CBAEF52}">
  <sheetPr codeName="Foglio4"/>
  <dimension ref="B2:J24"/>
  <sheetViews>
    <sheetView workbookViewId="0">
      <selection activeCell="C26" sqref="C26"/>
    </sheetView>
  </sheetViews>
  <sheetFormatPr defaultRowHeight="12.75" x14ac:dyDescent="0.2"/>
  <cols>
    <col min="6" max="6" width="9" customWidth="1"/>
  </cols>
  <sheetData>
    <row r="2" spans="2:10" x14ac:dyDescent="0.2">
      <c r="B2" t="s">
        <v>36</v>
      </c>
    </row>
    <row r="3" spans="2:10" ht="14.25" x14ac:dyDescent="0.25">
      <c r="B3" t="s">
        <v>37</v>
      </c>
      <c r="C3">
        <v>219.27210626580174</v>
      </c>
      <c r="D3" t="s">
        <v>2</v>
      </c>
      <c r="H3" t="s">
        <v>14</v>
      </c>
      <c r="I3">
        <f>N_ed</f>
        <v>0</v>
      </c>
      <c r="J3" t="s">
        <v>16</v>
      </c>
    </row>
    <row r="5" spans="2:10" x14ac:dyDescent="0.2">
      <c r="G5" t="s">
        <v>48</v>
      </c>
    </row>
    <row r="6" spans="2:10" ht="14.25" x14ac:dyDescent="0.25">
      <c r="B6" s="1" t="s">
        <v>34</v>
      </c>
      <c r="G6" t="s">
        <v>33</v>
      </c>
      <c r="H6">
        <f xml:space="preserve"> (-ABS(S.2) * (d+h-d_prime-y_g) - C.2 * (y_g-y_c.2) - S_prime2 * (y_g-d_prime))/1000</f>
        <v>-11.998980683901577</v>
      </c>
      <c r="I6" t="s">
        <v>17</v>
      </c>
    </row>
    <row r="7" spans="2:10" x14ac:dyDescent="0.2">
      <c r="B7" t="s">
        <v>35</v>
      </c>
      <c r="G7" t="s">
        <v>49</v>
      </c>
    </row>
    <row r="8" spans="2:10" ht="14.25" x14ac:dyDescent="0.25">
      <c r="B8" t="s">
        <v>38</v>
      </c>
      <c r="C8">
        <f xml:space="preserve"> -(epsilon_c/x_u2)* (d-x_u2)</f>
        <v>0.17123759473618894</v>
      </c>
      <c r="D8" t="s">
        <v>23</v>
      </c>
      <c r="G8" t="s">
        <v>32</v>
      </c>
      <c r="H8">
        <f>C.2 +S.2 + S_prime2</f>
        <v>1.570361689573474E-6</v>
      </c>
      <c r="I8" t="s">
        <v>16</v>
      </c>
    </row>
    <row r="9" spans="2:10" ht="14.25" x14ac:dyDescent="0.25">
      <c r="B9" t="s">
        <v>75</v>
      </c>
      <c r="C9">
        <f xml:space="preserve"> -(epsilon_c/x_u2)* (d_prime-x_u2)</f>
        <v>-2.8615238965676189</v>
      </c>
      <c r="D9" t="s">
        <v>23</v>
      </c>
    </row>
    <row r="12" spans="2:10" x14ac:dyDescent="0.2">
      <c r="B12" s="1" t="s">
        <v>39</v>
      </c>
    </row>
    <row r="13" spans="2:10" x14ac:dyDescent="0.2">
      <c r="B13" t="s">
        <v>35</v>
      </c>
    </row>
    <row r="14" spans="2:10" ht="14.25" x14ac:dyDescent="0.25">
      <c r="B14" t="s">
        <v>40</v>
      </c>
      <c r="C14">
        <f xml:space="preserve"> IF(-epsilon_yd &lt;= epsilon_s2, IF(epsilon_s2 &lt;= epsilon_yd, epsilon_s2 * E_s, f_yd),f_yd)</f>
        <v>34.247518947237786</v>
      </c>
      <c r="D14" t="s">
        <v>11</v>
      </c>
    </row>
    <row r="15" spans="2:10" ht="14.25" x14ac:dyDescent="0.25">
      <c r="B15" t="s">
        <v>76</v>
      </c>
      <c r="C15">
        <f xml:space="preserve"> IF(-epsilon_yd &lt;= epsilon_sprime2, IF(epsilon_sprime2 &lt;= epsilon_yd, epsilon_sprime2 * E_s, f_yd),f_yd)</f>
        <v>391.304347826087</v>
      </c>
      <c r="D15" t="s">
        <v>11</v>
      </c>
    </row>
    <row r="18" spans="2:7" x14ac:dyDescent="0.2">
      <c r="B18" s="1" t="s">
        <v>41</v>
      </c>
      <c r="C18" t="s">
        <v>84</v>
      </c>
    </row>
    <row r="19" spans="2:7" x14ac:dyDescent="0.2">
      <c r="B19" t="s">
        <v>46</v>
      </c>
      <c r="E19" t="s">
        <v>50</v>
      </c>
    </row>
    <row r="20" spans="2:7" ht="14.25" x14ac:dyDescent="0.25">
      <c r="B20" t="s">
        <v>66</v>
      </c>
      <c r="C20">
        <f>-beta_1*f_cd*b_w*x_u2/1000</f>
        <v>-251.49048774645689</v>
      </c>
      <c r="D20" t="s">
        <v>16</v>
      </c>
      <c r="E20" t="s">
        <v>67</v>
      </c>
      <c r="F20">
        <f xml:space="preserve"> beta_2 * x_u2</f>
        <v>91.217196206573519</v>
      </c>
      <c r="G20" t="s">
        <v>2</v>
      </c>
    </row>
    <row r="22" spans="2:7" x14ac:dyDescent="0.2">
      <c r="B22" t="s">
        <v>35</v>
      </c>
    </row>
    <row r="23" spans="2:7" x14ac:dyDescent="0.2">
      <c r="B23" t="s">
        <v>47</v>
      </c>
      <c r="C23">
        <f>sigma_s2 * A_sprime /1000</f>
        <v>10.543991884975309</v>
      </c>
      <c r="D23" t="s">
        <v>16</v>
      </c>
    </row>
    <row r="24" spans="2:7" x14ac:dyDescent="0.2">
      <c r="B24" t="s">
        <v>74</v>
      </c>
      <c r="C24">
        <f xml:space="preserve"> sigma_sprime2 * A_s /1000</f>
        <v>240.94649743184328</v>
      </c>
      <c r="D24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54</vt:i4>
      </vt:variant>
    </vt:vector>
  </HeadingPairs>
  <TitlesOfParts>
    <vt:vector size="58" baseType="lpstr">
      <vt:lpstr>Input - Output</vt:lpstr>
      <vt:lpstr>Coefficienti</vt:lpstr>
      <vt:lpstr>Momento_positivo</vt:lpstr>
      <vt:lpstr>Momento_negativo</vt:lpstr>
      <vt:lpstr>A_s</vt:lpstr>
      <vt:lpstr>A_sprime</vt:lpstr>
      <vt:lpstr>b</vt:lpstr>
      <vt:lpstr>b_w</vt:lpstr>
      <vt:lpstr>beta_1</vt:lpstr>
      <vt:lpstr>beta_2</vt:lpstr>
      <vt:lpstr>beta_eps</vt:lpstr>
      <vt:lpstr>beta_eps1</vt:lpstr>
      <vt:lpstr>beta_eps2</vt:lpstr>
      <vt:lpstr>C.</vt:lpstr>
      <vt:lpstr>C.2</vt:lpstr>
      <vt:lpstr>C_1</vt:lpstr>
      <vt:lpstr>C_2</vt:lpstr>
      <vt:lpstr>d</vt:lpstr>
      <vt:lpstr>d_prime</vt:lpstr>
      <vt:lpstr>E_s</vt:lpstr>
      <vt:lpstr>eps</vt:lpstr>
      <vt:lpstr>epsilon_c</vt:lpstr>
      <vt:lpstr>epsilon_s</vt:lpstr>
      <vt:lpstr>epsilon_s2</vt:lpstr>
      <vt:lpstr>epsilon_sprime</vt:lpstr>
      <vt:lpstr>epsilon_sprime2</vt:lpstr>
      <vt:lpstr>epsilon_yd</vt:lpstr>
      <vt:lpstr>eta</vt:lpstr>
      <vt:lpstr>f_cd</vt:lpstr>
      <vt:lpstr>f_ck</vt:lpstr>
      <vt:lpstr>f_yd</vt:lpstr>
      <vt:lpstr>f_yk</vt:lpstr>
      <vt:lpstr>gamma_gprime</vt:lpstr>
      <vt:lpstr>h</vt:lpstr>
      <vt:lpstr>h_w</vt:lpstr>
      <vt:lpstr>M_ed</vt:lpstr>
      <vt:lpstr>M_rd</vt:lpstr>
      <vt:lpstr>M_rd2</vt:lpstr>
      <vt:lpstr>N_ed</vt:lpstr>
      <vt:lpstr>N_rd</vt:lpstr>
      <vt:lpstr>N_Rd2</vt:lpstr>
      <vt:lpstr>S</vt:lpstr>
      <vt:lpstr>S.2</vt:lpstr>
      <vt:lpstr>S_prime</vt:lpstr>
      <vt:lpstr>S_prime2</vt:lpstr>
      <vt:lpstr>sigma_s</vt:lpstr>
      <vt:lpstr>sigma_s2</vt:lpstr>
      <vt:lpstr>sigma_sprime</vt:lpstr>
      <vt:lpstr>sigma_sprime2</vt:lpstr>
      <vt:lpstr>x</vt:lpstr>
      <vt:lpstr>x_u</vt:lpstr>
      <vt:lpstr>x_u2</vt:lpstr>
      <vt:lpstr>y_c</vt:lpstr>
      <vt:lpstr>y_c.2</vt:lpstr>
      <vt:lpstr>y_c1</vt:lpstr>
      <vt:lpstr>y_c2</vt:lpstr>
      <vt:lpstr>y_g</vt:lpstr>
      <vt:lpstr>y_gprime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Sberna</dc:creator>
  <cp:lastModifiedBy>Antonio Sberna</cp:lastModifiedBy>
  <dcterms:created xsi:type="dcterms:W3CDTF">2018-07-02T14:46:37Z</dcterms:created>
  <dcterms:modified xsi:type="dcterms:W3CDTF">2018-07-17T20:40:24Z</dcterms:modified>
</cp:coreProperties>
</file>