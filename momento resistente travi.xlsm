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Universita\Magistrale\1 anno\2° Semestre\Teoria e progetto strutture in ca e cap\SLU\"/>
    </mc:Choice>
  </mc:AlternateContent>
  <xr:revisionPtr revIDLastSave="0" documentId="13_ncr:1_{284BB744-DC4D-485B-8FFA-EE5CE32DD219}" xr6:coauthVersionLast="40" xr6:coauthVersionMax="40" xr10:uidLastSave="{00000000-0000-0000-0000-000000000000}"/>
  <bookViews>
    <workbookView xWindow="-120" yWindow="-120" windowWidth="20730" windowHeight="11310" tabRatio="733" xr2:uid="{6723A043-B044-4E92-A5EE-E9EF3F75E9C0}"/>
  </bookViews>
  <sheets>
    <sheet name="Input - Output" sheetId="1" r:id="rId1"/>
    <sheet name="Coefficienti" sheetId="2" state="hidden" r:id="rId2"/>
    <sheet name="Calcolo" sheetId="3" state="hidden" r:id="rId3"/>
  </sheets>
  <definedNames>
    <definedName name="A_s">Calcolo!$J$18</definedName>
    <definedName name="A_sprime">Calcolo!$J$17</definedName>
    <definedName name="b">'Input - Output'!$D$9</definedName>
    <definedName name="beta_1">Coefficienti!$J$4</definedName>
    <definedName name="beta_2">Coefficienti!$J$5</definedName>
    <definedName name="C.">Calcolo!$C$22</definedName>
    <definedName name="d">Coefficienti!$C$17</definedName>
    <definedName name="d_prime">'Input - Output'!$D$11</definedName>
    <definedName name="E_s">Coefficienti!$C$4</definedName>
    <definedName name="eps">Coefficienti!$J$9</definedName>
    <definedName name="epsilon_c">Coefficienti!$C$20</definedName>
    <definedName name="epsilon_s">Calcolo!$C$8</definedName>
    <definedName name="epsilon_sprime">Calcolo!$C$10</definedName>
    <definedName name="epsilon_yd">Coefficienti!$C$6</definedName>
    <definedName name="f_cd">Coefficienti!$C$11</definedName>
    <definedName name="f_ck">'Input - Output'!$C$24</definedName>
    <definedName name="f_yd">Coefficienti!$C$13</definedName>
    <definedName name="f_yk">'Input - Output'!$C$26</definedName>
    <definedName name="h">'Input - Output'!$D$7</definedName>
    <definedName name="M_ed">'Input - Output'!$C$31</definedName>
    <definedName name="M_rd">Calcolo!$I$7</definedName>
    <definedName name="N_ed">'Input - Output'!$C$30</definedName>
    <definedName name="N_rd">Calcolo!$I$9</definedName>
    <definedName name="S">Calcolo!$C$24</definedName>
    <definedName name="S_prime">Calcolo!$C$26</definedName>
    <definedName name="sigma_s">Calcolo!$C$15</definedName>
    <definedName name="sigma_sprime">Calcolo!$C$17</definedName>
    <definedName name="solver_adj" localSheetId="2" hidden="1">Calcolo!$C$3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Calcolo!$C$3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Calcolo!$I$9</definedName>
    <definedName name="solver_pre" localSheetId="2" hidden="1">0.000001</definedName>
    <definedName name="solver_rbv" localSheetId="2" hidden="1">2</definedName>
    <definedName name="solver_rel1" localSheetId="2" hidden="1">3</definedName>
    <definedName name="solver_rhs1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  <definedName name="x">Calcolo!$C$3</definedName>
    <definedName name="x_u">Calcolo!$C$3</definedName>
    <definedName name="y_c">Calcolo!$F$22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7" i="3" l="1"/>
  <c r="J18" i="3" l="1"/>
  <c r="I3" i="3"/>
  <c r="F22" i="3"/>
  <c r="C17" i="2" l="1"/>
  <c r="C8" i="3" s="1"/>
  <c r="C10" i="3"/>
  <c r="C17" i="3" s="1"/>
  <c r="C26" i="3" s="1"/>
  <c r="L7" i="1" l="1"/>
  <c r="C13" i="2"/>
  <c r="C15" i="3" s="1"/>
  <c r="C24" i="3" s="1"/>
  <c r="C11" i="2"/>
  <c r="C22" i="3" s="1"/>
  <c r="I7" i="3" l="1"/>
  <c r="L8" i="1"/>
  <c r="L14" i="1" l="1"/>
  <c r="N14" i="1" s="1"/>
  <c r="I9" i="3"/>
  <c r="L13" i="1" l="1"/>
  <c r="N13" i="1" s="1"/>
</calcChain>
</file>

<file path=xl/sharedStrings.xml><?xml version="1.0" encoding="utf-8"?>
<sst xmlns="http://schemas.openxmlformats.org/spreadsheetml/2006/main" count="119" uniqueCount="88">
  <si>
    <t xml:space="preserve">Geometria </t>
  </si>
  <si>
    <t>h  =</t>
  </si>
  <si>
    <t>[mm]</t>
  </si>
  <si>
    <t xml:space="preserve">b = </t>
  </si>
  <si>
    <t>Ricoprimento copriferro</t>
  </si>
  <si>
    <t>d' =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</si>
  <si>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</si>
  <si>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[mm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</si>
  <si>
    <t>Materiali</t>
  </si>
  <si>
    <t>Resistenza a compressione cls</t>
  </si>
  <si>
    <r>
      <t>f</t>
    </r>
    <r>
      <rPr>
        <vertAlign val="subscript"/>
        <sz val="10"/>
        <color theme="1"/>
        <rFont val="Calibri"/>
        <family val="2"/>
        <scheme val="minor"/>
      </rPr>
      <t>ck</t>
    </r>
    <r>
      <rPr>
        <sz val="10"/>
        <color theme="1"/>
        <rFont val="Calibri"/>
        <family val="2"/>
        <scheme val="minor"/>
      </rPr>
      <t xml:space="preserve"> =</t>
    </r>
  </si>
  <si>
    <t>[MPa]</t>
  </si>
  <si>
    <r>
      <t>f</t>
    </r>
    <r>
      <rPr>
        <vertAlign val="subscript"/>
        <sz val="10"/>
        <color theme="1"/>
        <rFont val="Calibri"/>
        <family val="2"/>
        <scheme val="minor"/>
      </rPr>
      <t>yk</t>
    </r>
    <r>
      <rPr>
        <sz val="10"/>
        <color theme="1"/>
        <rFont val="Calibri"/>
        <family val="2"/>
        <scheme val="minor"/>
      </rPr>
      <t xml:space="preserve"> =</t>
    </r>
  </si>
  <si>
    <t>Azioni</t>
  </si>
  <si>
    <r>
      <t>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</si>
  <si>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=</t>
    </r>
  </si>
  <si>
    <t>[kN]</t>
  </si>
  <si>
    <t>[kN m]</t>
  </si>
  <si>
    <t>Modulo di Young per l'acciaio</t>
  </si>
  <si>
    <r>
      <t>E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</si>
  <si>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[GPa]</t>
  </si>
  <si>
    <t>Deformazione allo snervamento dell'acciaio</t>
  </si>
  <si>
    <r>
      <t>ε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</si>
  <si>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t>[</t>
    </r>
    <r>
      <rPr>
        <sz val="10"/>
        <color theme="1"/>
        <rFont val="Calibri"/>
        <family val="2"/>
      </rPr>
      <t>‰</t>
    </r>
    <r>
      <rPr>
        <sz val="10"/>
        <color theme="1"/>
        <rFont val="Calibri"/>
        <family val="2"/>
        <scheme val="minor"/>
      </rPr>
      <t>]</t>
    </r>
  </si>
  <si>
    <t>Resistenza a compressione cls di progetto</t>
  </si>
  <si>
    <r>
      <t>f</t>
    </r>
    <r>
      <rPr>
        <vertAlign val="subscript"/>
        <sz val="10"/>
        <color theme="1"/>
        <rFont val="Calibri"/>
        <family val="2"/>
        <scheme val="minor"/>
      </rPr>
      <t>cd</t>
    </r>
    <r>
      <rPr>
        <sz val="10"/>
        <color theme="1"/>
        <rFont val="Calibri"/>
        <family val="2"/>
        <scheme val="minor"/>
      </rPr>
      <t xml:space="preserve"> =</t>
    </r>
  </si>
  <si>
    <t>Tensione di snervamento acciaio di progetto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</si>
  <si>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</si>
  <si>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t>Altezza utile</t>
  </si>
  <si>
    <t xml:space="preserve">d = </t>
  </si>
  <si>
    <t>Deformazione fibra estrema cls</t>
  </si>
  <si>
    <r>
      <t>ε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</si>
  <si>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Risultato</t>
  </si>
  <si>
    <r>
      <t>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</si>
  <si>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=</t>
    </r>
  </si>
  <si>
    <t>Deformazioni</t>
  </si>
  <si>
    <t>Acciaio inferiore</t>
  </si>
  <si>
    <t>Altezza area compressa</t>
  </si>
  <si>
    <r>
      <t>x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</si>
  <si>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t>ε</t>
    </r>
    <r>
      <rPr>
        <vertAlign val="subscript"/>
        <sz val="10"/>
        <color theme="1"/>
        <rFont val="Calibri"/>
        <family val="2"/>
        <scheme val="minor"/>
      </rPr>
      <t xml:space="preserve">s </t>
    </r>
    <r>
      <rPr>
        <sz val="10"/>
        <color theme="1"/>
        <rFont val="Calibri"/>
        <family val="2"/>
        <scheme val="minor"/>
      </rPr>
      <t xml:space="preserve"> =</t>
    </r>
  </si>
  <si>
    <t>Tensioni</t>
  </si>
  <si>
    <r>
      <t>σ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</si>
  <si>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Forze</t>
  </si>
  <si>
    <r>
      <t>β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</si>
  <si>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t>β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</si>
  <si>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[-]</t>
  </si>
  <si>
    <t>Coefficienti di ripartizione</t>
  </si>
  <si>
    <t>Calcestruzzo</t>
  </si>
  <si>
    <t>S =</t>
  </si>
  <si>
    <t>Momento resistente</t>
  </si>
  <si>
    <t>Forza assiale resistente</t>
  </si>
  <si>
    <t>posizione</t>
  </si>
  <si>
    <r>
      <t>x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/d =</t>
    </r>
  </si>
  <si>
    <t>Condizioni deformata</t>
  </si>
  <si>
    <t>Area armatura</t>
  </si>
  <si>
    <r>
      <t>A'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</si>
  <si>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superiore</t>
  </si>
  <si>
    <t>inferiore</t>
  </si>
  <si>
    <t>Armatura</t>
  </si>
  <si>
    <t>Inf.</t>
  </si>
  <si>
    <t>Sup.</t>
  </si>
  <si>
    <t>ISTRUZIONI</t>
  </si>
  <si>
    <t>1) Inserire le dimensioni della sezione (celle verdi)</t>
  </si>
  <si>
    <t>4) Inserire il valore delle sollecitazioni agenti nella sezione (celle rosa)</t>
  </si>
  <si>
    <r>
      <t>M</t>
    </r>
    <r>
      <rPr>
        <b/>
        <vertAlign val="subscript"/>
        <sz val="10"/>
        <color theme="1"/>
        <rFont val="Calibri"/>
        <family val="2"/>
        <scheme val="minor"/>
      </rPr>
      <t>Rd</t>
    </r>
    <r>
      <rPr>
        <b/>
        <sz val="10"/>
        <color theme="1"/>
        <rFont val="Calibri"/>
        <family val="2"/>
        <scheme val="minor"/>
      </rPr>
      <t xml:space="preserve"> =</t>
    </r>
  </si>
  <si>
    <t>ε =</t>
  </si>
  <si>
    <r>
      <t>Errore tra 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e 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ammesso </t>
    </r>
  </si>
  <si>
    <t>5) Premere il tasto "Calcola Momento Resistente"</t>
  </si>
  <si>
    <r>
      <t>6) Controllare che il valore dello 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sia prossimo a 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(cella azzurra)</t>
    </r>
  </si>
  <si>
    <t>7) Il valore del momento resistente è riportato nella cella blu</t>
  </si>
  <si>
    <t>Tensione di snerv. dell'acciaio</t>
  </si>
  <si>
    <t>antoniopio.sberna@studenti.polito.it</t>
  </si>
  <si>
    <t>φ [mm]</t>
  </si>
  <si>
    <t>n. [-]</t>
  </si>
  <si>
    <t>[kN·m]</t>
  </si>
  <si>
    <t>0) Abilitare l'esecuzione delle macro</t>
  </si>
  <si>
    <t>Altezza trave</t>
  </si>
  <si>
    <t>Larghezza trave</t>
  </si>
  <si>
    <t>CALCOLO MOMENTO RESISTENTE NELLE TRAVI</t>
  </si>
  <si>
    <t>Acciaio superiore</t>
  </si>
  <si>
    <r>
      <t>ε</t>
    </r>
    <r>
      <rPr>
        <vertAlign val="subscript"/>
        <sz val="10"/>
        <color theme="1"/>
        <rFont val="Calibri"/>
        <family val="2"/>
        <scheme val="minor"/>
      </rPr>
      <t>s'</t>
    </r>
    <r>
      <rPr>
        <sz val="10"/>
        <color theme="1"/>
        <rFont val="Calibri"/>
        <family val="2"/>
        <scheme val="minor"/>
      </rPr>
      <t xml:space="preserve"> =</t>
    </r>
  </si>
  <si>
    <t xml:space="preserve">Acciaio superiore </t>
  </si>
  <si>
    <r>
      <t>σ</t>
    </r>
    <r>
      <rPr>
        <vertAlign val="subscript"/>
        <sz val="10"/>
        <color theme="1"/>
        <rFont val="Calibri"/>
        <family val="2"/>
        <scheme val="minor"/>
      </rPr>
      <t>s'</t>
    </r>
    <r>
      <rPr>
        <sz val="10"/>
        <color theme="1"/>
        <rFont val="Calibri"/>
        <family val="2"/>
        <scheme val="minor"/>
      </rPr>
      <t xml:space="preserve"> =</t>
    </r>
  </si>
  <si>
    <t xml:space="preserve">C = </t>
  </si>
  <si>
    <r>
      <t>y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</si>
  <si>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S' =</t>
  </si>
  <si>
    <t>2) Inserire numero e dimensione delle armature presente (celle grigie)</t>
  </si>
  <si>
    <t>3) Controllare e modificare caratteristiche cls e acciaio delle armature (celle gialle)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</si>
</sst>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0" fillId="8" borderId="0" xfId="0" applyFill="1"/>
    <xf numFmtId="0" fontId="0" fillId="8" borderId="0" xfId="0" applyFill="1" applyProtection="1">
      <protection locked="0"/>
    </xf>
    <xf numFmtId="0" fontId="0" fillId="8" borderId="1" xfId="0" applyFill="1" applyBorder="1"/>
    <xf numFmtId="0" fontId="0" fillId="8" borderId="0" xfId="0" applyFill="1" applyBorder="1"/>
    <xf numFmtId="0" fontId="0" fillId="8" borderId="2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3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" fillId="8" borderId="3" xfId="0" applyFont="1" applyFill="1" applyBorder="1" applyAlignment="1">
      <alignment horizontal="right"/>
    </xf>
    <xf numFmtId="0" fontId="1" fillId="8" borderId="4" xfId="0" applyFont="1" applyFill="1" applyBorder="1"/>
    <xf numFmtId="0" fontId="5" fillId="2" borderId="0" xfId="0" applyFont="1" applyFill="1" applyBorder="1"/>
    <xf numFmtId="0" fontId="5" fillId="2" borderId="4" xfId="0" applyFont="1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0" xfId="0" applyFill="1" applyBorder="1"/>
    <xf numFmtId="0" fontId="0" fillId="4" borderId="4" xfId="0" applyFill="1" applyBorder="1"/>
    <xf numFmtId="0" fontId="1" fillId="6" borderId="4" xfId="0" applyFont="1" applyFill="1" applyBorder="1"/>
    <xf numFmtId="0" fontId="0" fillId="8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8" borderId="9" xfId="0" applyFill="1" applyBorder="1" applyAlignment="1">
      <alignment horizontal="right"/>
    </xf>
    <xf numFmtId="0" fontId="0" fillId="7" borderId="10" xfId="0" applyFill="1" applyBorder="1"/>
    <xf numFmtId="0" fontId="0" fillId="8" borderId="10" xfId="0" applyFill="1" applyBorder="1"/>
    <xf numFmtId="0" fontId="0" fillId="8" borderId="11" xfId="0" applyFill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0" fontId="10" fillId="8" borderId="0" xfId="0" applyFont="1" applyFill="1"/>
    <xf numFmtId="0" fontId="1" fillId="8" borderId="9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" fillId="8" borderId="0" xfId="0" applyFont="1" applyFill="1" applyBorder="1" applyAlignment="1"/>
    <xf numFmtId="0" fontId="5" fillId="8" borderId="0" xfId="0" applyFont="1" applyFill="1" applyBorder="1"/>
    <xf numFmtId="0" fontId="0" fillId="0" borderId="1" xfId="0" applyBorder="1"/>
    <xf numFmtId="0" fontId="0" fillId="0" borderId="3" xfId="0" applyBorder="1"/>
    <xf numFmtId="0" fontId="0" fillId="8" borderId="4" xfId="0" applyFill="1" applyBorder="1" applyAlignment="1">
      <alignment horizontal="right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7" fillId="8" borderId="0" xfId="0" applyFont="1" applyFill="1" applyAlignment="1">
      <alignment horizontal="center"/>
    </xf>
  </cellXfs>
  <cellStyles count="1">
    <cellStyle name="Normale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13</xdr:row>
          <xdr:rowOff>0</xdr:rowOff>
        </xdr:from>
        <xdr:to>
          <xdr:col>9</xdr:col>
          <xdr:colOff>57150</xdr:colOff>
          <xdr:row>17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Momento Resistente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104775</xdr:colOff>
      <xdr:row>45</xdr:row>
      <xdr:rowOff>66675</xdr:rowOff>
    </xdr:from>
    <xdr:to>
      <xdr:col>15</xdr:col>
      <xdr:colOff>247650</xdr:colOff>
      <xdr:row>46</xdr:row>
      <xdr:rowOff>47625</xdr:rowOff>
    </xdr:to>
    <xdr:cxnSp macro="">
      <xdr:nvCxnSpPr>
        <xdr:cNvPr id="3" name="Connettore dirit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448550" y="7124700"/>
          <a:ext cx="142875" cy="142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107373</xdr:colOff>
      <xdr:row>45</xdr:row>
      <xdr:rowOff>67540</xdr:rowOff>
    </xdr:from>
    <xdr:to>
      <xdr:col>15</xdr:col>
      <xdr:colOff>307398</xdr:colOff>
      <xdr:row>45</xdr:row>
      <xdr:rowOff>95250</xdr:rowOff>
    </xdr:to>
    <xdr:cxnSp macro="">
      <xdr:nvCxnSpPr>
        <xdr:cNvPr id="6" name="Connettore dirit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7458941" y="7107381"/>
          <a:ext cx="200025" cy="277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103909</xdr:colOff>
      <xdr:row>45</xdr:row>
      <xdr:rowOff>68406</xdr:rowOff>
    </xdr:from>
    <xdr:to>
      <xdr:col>15</xdr:col>
      <xdr:colOff>251114</xdr:colOff>
      <xdr:row>45</xdr:row>
      <xdr:rowOff>138545</xdr:rowOff>
    </xdr:to>
    <xdr:cxnSp macro="">
      <xdr:nvCxnSpPr>
        <xdr:cNvPr id="9" name="Connettore dirit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7455477" y="7108247"/>
          <a:ext cx="147205" cy="7013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B667-37AE-492D-9537-9FD7FB9D0882}">
  <sheetPr codeName="Foglio1"/>
  <dimension ref="A1:AZ162"/>
  <sheetViews>
    <sheetView tabSelected="1" topLeftCell="A4" zoomScaleNormal="100" workbookViewId="0">
      <selection activeCell="J25" sqref="J25"/>
    </sheetView>
  </sheetViews>
  <sheetFormatPr defaultRowHeight="12.75" x14ac:dyDescent="0.2"/>
  <cols>
    <col min="1" max="1" width="9" customWidth="1"/>
    <col min="2" max="2" width="4.7109375" customWidth="1"/>
    <col min="3" max="3" width="4.5703125" customWidth="1"/>
    <col min="4" max="4" width="6.42578125" customWidth="1"/>
    <col min="5" max="5" width="9.28515625" customWidth="1"/>
    <col min="6" max="6" width="4.85546875" customWidth="1"/>
    <col min="7" max="7" width="4" bestFit="1" customWidth="1"/>
    <col min="8" max="8" width="7.5703125" bestFit="1" customWidth="1"/>
    <col min="11" max="11" width="5.7109375" customWidth="1"/>
    <col min="12" max="12" width="7.42578125" customWidth="1"/>
    <col min="13" max="13" width="6.28515625" customWidth="1"/>
    <col min="14" max="14" width="12.28515625" customWidth="1"/>
  </cols>
  <sheetData>
    <row r="1" spans="1:5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52" ht="18.75" x14ac:dyDescent="0.3">
      <c r="A2" s="2"/>
      <c r="B2" s="2"/>
      <c r="C2" s="2"/>
      <c r="D2" s="2"/>
      <c r="E2" s="2"/>
      <c r="F2" s="33" t="s">
        <v>78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52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3.5" thickBo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52" ht="13.5" thickBot="1" x14ac:dyDescent="0.25">
      <c r="A5" s="2"/>
      <c r="B5" s="46" t="s">
        <v>0</v>
      </c>
      <c r="C5" s="47"/>
      <c r="D5" s="47"/>
      <c r="E5" s="48"/>
      <c r="F5" s="36"/>
      <c r="G5" s="36"/>
      <c r="H5" s="36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52" ht="13.5" thickBot="1" x14ac:dyDescent="0.25">
      <c r="A6" s="2"/>
      <c r="B6" s="49" t="s">
        <v>76</v>
      </c>
      <c r="C6" s="50"/>
      <c r="D6" s="50"/>
      <c r="E6" s="51"/>
      <c r="F6" s="5"/>
      <c r="G6" s="5"/>
      <c r="H6" s="5"/>
      <c r="I6" s="2"/>
      <c r="J6" s="2"/>
      <c r="K6" s="55" t="s">
        <v>53</v>
      </c>
      <c r="L6" s="56"/>
      <c r="M6" s="57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52" ht="14.25" x14ac:dyDescent="0.25">
      <c r="A7" s="2"/>
      <c r="B7" s="38"/>
      <c r="C7" s="11" t="s">
        <v>1</v>
      </c>
      <c r="D7" s="15">
        <v>350</v>
      </c>
      <c r="E7" s="6" t="s">
        <v>2</v>
      </c>
      <c r="F7" s="11"/>
      <c r="G7" s="37"/>
      <c r="H7" s="5"/>
      <c r="I7" s="2"/>
      <c r="J7" s="2"/>
      <c r="K7" s="10" t="s">
        <v>38</v>
      </c>
      <c r="L7" s="5">
        <f xml:space="preserve"> x_u</f>
        <v>37.445380246271711</v>
      </c>
      <c r="M7" s="6" t="s">
        <v>2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</row>
    <row r="8" spans="1:52" ht="15" thickBot="1" x14ac:dyDescent="0.3">
      <c r="A8" s="2"/>
      <c r="B8" s="52" t="s">
        <v>77</v>
      </c>
      <c r="C8" s="53"/>
      <c r="D8" s="53"/>
      <c r="E8" s="54"/>
      <c r="F8" s="5"/>
      <c r="G8" s="5"/>
      <c r="H8" s="5"/>
      <c r="I8" s="2"/>
      <c r="J8" s="2"/>
      <c r="K8" s="9" t="s">
        <v>52</v>
      </c>
      <c r="L8" s="7">
        <f xml:space="preserve"> x_u / d</f>
        <v>0.11887422300403717</v>
      </c>
      <c r="M8" s="8" t="s">
        <v>45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</row>
    <row r="9" spans="1:52" x14ac:dyDescent="0.2">
      <c r="A9" s="2"/>
      <c r="B9" s="38"/>
      <c r="C9" s="11" t="s">
        <v>3</v>
      </c>
      <c r="D9" s="15">
        <v>700</v>
      </c>
      <c r="E9" s="6" t="s">
        <v>2</v>
      </c>
      <c r="F9" s="11"/>
      <c r="G9" s="37"/>
      <c r="H9" s="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</row>
    <row r="10" spans="1:52" x14ac:dyDescent="0.2">
      <c r="A10" s="2"/>
      <c r="B10" s="52" t="s">
        <v>4</v>
      </c>
      <c r="C10" s="53"/>
      <c r="D10" s="53"/>
      <c r="E10" s="54"/>
      <c r="F10" s="5"/>
      <c r="G10" s="5"/>
      <c r="H10" s="5"/>
      <c r="I10" s="2"/>
      <c r="J10" s="2"/>
      <c r="K10" s="2"/>
      <c r="L10" s="2"/>
      <c r="M10" s="3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</row>
    <row r="11" spans="1:52" ht="13.5" thickBot="1" x14ac:dyDescent="0.25">
      <c r="A11" s="2"/>
      <c r="B11" s="39"/>
      <c r="C11" s="40" t="s">
        <v>5</v>
      </c>
      <c r="D11" s="16">
        <v>35</v>
      </c>
      <c r="E11" s="8" t="s">
        <v>2</v>
      </c>
      <c r="F11" s="5"/>
      <c r="G11" s="5"/>
      <c r="H11" s="5"/>
      <c r="I11" s="2"/>
      <c r="J11" s="2"/>
      <c r="K11" s="2"/>
      <c r="L11" s="2"/>
      <c r="M11" s="3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</row>
    <row r="12" spans="1:52" ht="13.5" thickBo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46" t="s">
        <v>32</v>
      </c>
      <c r="L12" s="47"/>
      <c r="M12" s="47"/>
      <c r="N12" s="48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</row>
    <row r="13" spans="1:52" ht="15" thickBot="1" x14ac:dyDescent="0.3">
      <c r="A13" s="2"/>
      <c r="B13" s="46" t="s">
        <v>58</v>
      </c>
      <c r="C13" s="47"/>
      <c r="D13" s="48"/>
      <c r="E13" s="2"/>
      <c r="F13" s="2"/>
      <c r="G13" s="2"/>
      <c r="H13" s="2"/>
      <c r="I13" s="2"/>
      <c r="J13" s="2"/>
      <c r="K13" s="28" t="s">
        <v>33</v>
      </c>
      <c r="L13" s="29">
        <f>ROUND(N_rd,1)</f>
        <v>0</v>
      </c>
      <c r="M13" s="30" t="s">
        <v>16</v>
      </c>
      <c r="N13" s="31" t="str">
        <f>IF(ABS(L13)&lt;N_ed+eps, IF(ABS(L13)&gt;N_ed-eps, "OK!","Attenzione!"), "Attenzione!")</f>
        <v>OK!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</row>
    <row r="14" spans="1:52" ht="15.75" thickBot="1" x14ac:dyDescent="0.3">
      <c r="A14" s="2"/>
      <c r="B14" s="34"/>
      <c r="C14" s="41" t="s">
        <v>73</v>
      </c>
      <c r="D14" s="42" t="s">
        <v>72</v>
      </c>
      <c r="E14" s="2"/>
      <c r="F14" s="2"/>
      <c r="G14" s="2"/>
      <c r="H14" s="2"/>
      <c r="I14" s="2"/>
      <c r="J14" s="2"/>
      <c r="K14" s="13" t="s">
        <v>64</v>
      </c>
      <c r="L14" s="21">
        <f xml:space="preserve"> ROUND(M_rd,3)</f>
        <v>93.956999999999994</v>
      </c>
      <c r="M14" s="14" t="s">
        <v>74</v>
      </c>
      <c r="N14" s="32" t="str">
        <f>IF(M_ed&lt;L14, "ACCETTATA","RIGETTATA")</f>
        <v>ACCETTATA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</row>
    <row r="15" spans="1:52" x14ac:dyDescent="0.2">
      <c r="A15" s="2"/>
      <c r="B15" s="43" t="s">
        <v>60</v>
      </c>
      <c r="C15" s="44">
        <v>2</v>
      </c>
      <c r="D15" s="45">
        <v>14</v>
      </c>
      <c r="E15" s="2"/>
      <c r="F15" s="2"/>
      <c r="G15" s="2"/>
      <c r="H15" s="2"/>
      <c r="I15" s="2"/>
      <c r="J15" s="2"/>
      <c r="K15" s="2"/>
      <c r="L15" s="2"/>
      <c r="M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</row>
    <row r="16" spans="1:52" x14ac:dyDescent="0.2">
      <c r="A16" s="2"/>
      <c r="B16" s="35"/>
      <c r="C16" s="23">
        <v>0</v>
      </c>
      <c r="D16" s="24">
        <v>20</v>
      </c>
      <c r="E16" s="2"/>
      <c r="F16" s="2"/>
      <c r="G16" s="2"/>
      <c r="H16" s="2"/>
      <c r="I16" s="2"/>
      <c r="J16" s="2"/>
      <c r="K16" s="2"/>
      <c r="L16" s="2"/>
      <c r="M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</row>
    <row r="17" spans="1:52" x14ac:dyDescent="0.2">
      <c r="A17" s="2"/>
      <c r="B17" s="22"/>
      <c r="C17" s="23">
        <v>0</v>
      </c>
      <c r="D17" s="24">
        <v>22</v>
      </c>
      <c r="E17" s="2"/>
      <c r="F17" s="2"/>
      <c r="G17" s="2"/>
      <c r="H17" s="2"/>
      <c r="I17" s="2"/>
      <c r="J17" s="2"/>
      <c r="K17" s="2"/>
      <c r="L17" s="2"/>
      <c r="M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</row>
    <row r="18" spans="1:52" x14ac:dyDescent="0.2">
      <c r="A18" s="2"/>
      <c r="B18" s="43" t="s">
        <v>59</v>
      </c>
      <c r="C18" s="44">
        <v>4</v>
      </c>
      <c r="D18" s="45">
        <v>16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</row>
    <row r="19" spans="1:52" x14ac:dyDescent="0.2">
      <c r="A19" s="2"/>
      <c r="B19" s="22"/>
      <c r="C19" s="23">
        <v>0</v>
      </c>
      <c r="D19" s="24">
        <v>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</row>
    <row r="20" spans="1:52" ht="13.5" thickBot="1" x14ac:dyDescent="0.25">
      <c r="A20" s="2"/>
      <c r="B20" s="25"/>
      <c r="C20" s="26">
        <v>0</v>
      </c>
      <c r="D20" s="27">
        <v>22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</row>
    <row r="21" spans="1:52" ht="13.5" thickBo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</row>
    <row r="22" spans="1:52" ht="13.5" thickBot="1" x14ac:dyDescent="0.25">
      <c r="A22" s="2"/>
      <c r="B22" s="55" t="s">
        <v>8</v>
      </c>
      <c r="C22" s="56"/>
      <c r="D22" s="56"/>
      <c r="E22" s="57"/>
      <c r="F22" s="2"/>
      <c r="G22" s="2"/>
      <c r="H22" s="2"/>
      <c r="I22" s="2"/>
      <c r="J22" s="2"/>
      <c r="K22" s="58" t="s">
        <v>61</v>
      </c>
      <c r="L22" s="58"/>
      <c r="M22" s="58"/>
      <c r="N22" s="58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</row>
    <row r="23" spans="1:52" x14ac:dyDescent="0.2">
      <c r="A23" s="2"/>
      <c r="B23" s="4" t="s">
        <v>9</v>
      </c>
      <c r="C23" s="5"/>
      <c r="D23" s="5"/>
      <c r="E23" s="6"/>
      <c r="F23" s="2"/>
      <c r="G23" s="2"/>
      <c r="H23" s="2"/>
      <c r="I23" s="2"/>
      <c r="J23" s="2"/>
      <c r="K23" t="s">
        <v>75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</row>
    <row r="24" spans="1:52" ht="14.25" x14ac:dyDescent="0.25">
      <c r="A24" s="2"/>
      <c r="B24" s="10" t="s">
        <v>10</v>
      </c>
      <c r="C24" s="19">
        <v>25</v>
      </c>
      <c r="D24" s="5" t="s">
        <v>11</v>
      </c>
      <c r="E24" s="6"/>
      <c r="F24" s="2"/>
      <c r="G24" s="2"/>
      <c r="H24" s="2"/>
      <c r="I24" s="2"/>
      <c r="J24" s="2"/>
      <c r="K24" s="2" t="s">
        <v>62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</row>
    <row r="25" spans="1:52" x14ac:dyDescent="0.2">
      <c r="A25" s="2"/>
      <c r="B25" s="12" t="s">
        <v>70</v>
      </c>
      <c r="C25" s="5"/>
      <c r="D25" s="5"/>
      <c r="E25" s="6"/>
      <c r="F25" s="2"/>
      <c r="G25" s="2"/>
      <c r="I25" s="2"/>
      <c r="J25" s="2"/>
      <c r="K25" s="2" t="s">
        <v>86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</row>
    <row r="26" spans="1:52" ht="15" thickBot="1" x14ac:dyDescent="0.3">
      <c r="A26" s="2"/>
      <c r="B26" s="9" t="s">
        <v>12</v>
      </c>
      <c r="C26" s="20">
        <v>450</v>
      </c>
      <c r="D26" s="7" t="s">
        <v>11</v>
      </c>
      <c r="E26" s="8"/>
      <c r="F26" s="2"/>
      <c r="G26" s="2"/>
      <c r="H26" s="2"/>
      <c r="I26" s="2"/>
      <c r="J26" s="2"/>
      <c r="K26" s="2" t="s">
        <v>87</v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</row>
    <row r="27" spans="1:52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 t="s">
        <v>63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</row>
    <row r="28" spans="1:52" ht="13.5" thickBo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 t="s">
        <v>67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</row>
    <row r="29" spans="1:52" ht="15" thickBot="1" x14ac:dyDescent="0.3">
      <c r="A29" s="2"/>
      <c r="B29" s="55" t="s">
        <v>13</v>
      </c>
      <c r="C29" s="56"/>
      <c r="D29" s="57"/>
      <c r="E29" s="2"/>
      <c r="F29" s="2"/>
      <c r="G29" s="2"/>
      <c r="H29" s="2"/>
      <c r="I29" s="2"/>
      <c r="J29" s="2"/>
      <c r="K29" s="2" t="s">
        <v>68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</row>
    <row r="30" spans="1:52" ht="14.25" x14ac:dyDescent="0.25">
      <c r="A30" s="2"/>
      <c r="B30" s="10" t="s">
        <v>14</v>
      </c>
      <c r="C30" s="17">
        <v>0</v>
      </c>
      <c r="D30" s="6" t="s">
        <v>16</v>
      </c>
      <c r="E30" s="2"/>
      <c r="F30" s="2"/>
      <c r="G30" s="2"/>
      <c r="H30" s="2"/>
      <c r="I30" s="2"/>
      <c r="J30" s="2"/>
      <c r="K30" s="2" t="s">
        <v>69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 ht="15" thickBot="1" x14ac:dyDescent="0.3">
      <c r="A31" s="2"/>
      <c r="B31" s="9" t="s">
        <v>15</v>
      </c>
      <c r="C31" s="18">
        <v>20</v>
      </c>
      <c r="D31" s="8" t="s">
        <v>74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</row>
    <row r="32" spans="1:52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</row>
    <row r="33" spans="1:52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</row>
    <row r="34" spans="1:52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</row>
    <row r="35" spans="1:52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</row>
    <row r="36" spans="1:52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</row>
    <row r="37" spans="1:52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</row>
    <row r="38" spans="1:52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</row>
    <row r="39" spans="1:52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</row>
    <row r="40" spans="1:52" x14ac:dyDescent="0.2">
      <c r="A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</row>
    <row r="41" spans="1:52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</row>
    <row r="42" spans="1:5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</row>
    <row r="43" spans="1:52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</row>
    <row r="44" spans="1:5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</row>
    <row r="45" spans="1:5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 t="s">
        <v>71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</row>
    <row r="46" spans="1:52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</row>
    <row r="47" spans="1:52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</row>
    <row r="48" spans="1:52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</row>
    <row r="49" spans="1:52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</row>
    <row r="50" spans="1:52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</row>
    <row r="51" spans="1:52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</row>
    <row r="52" spans="1:52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</row>
    <row r="53" spans="1:52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</row>
    <row r="54" spans="1:52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</row>
    <row r="55" spans="1:52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</row>
    <row r="56" spans="1:52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</row>
    <row r="57" spans="1:52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</row>
    <row r="58" spans="1:52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</row>
    <row r="59" spans="1:52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</row>
    <row r="60" spans="1:52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</row>
    <row r="61" spans="1:52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</row>
    <row r="62" spans="1:52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</row>
    <row r="63" spans="1:52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</row>
    <row r="64" spans="1:52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</row>
    <row r="65" spans="1:52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</row>
    <row r="66" spans="1:52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</row>
    <row r="67" spans="1:52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</row>
    <row r="68" spans="1:52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</row>
    <row r="69" spans="1:52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</row>
    <row r="70" spans="1:52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</row>
    <row r="71" spans="1:52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</row>
    <row r="72" spans="1:52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</row>
    <row r="73" spans="1:52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</row>
    <row r="74" spans="1:52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</row>
    <row r="75" spans="1:5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</row>
    <row r="76" spans="1:5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</row>
    <row r="77" spans="1:5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</row>
    <row r="78" spans="1:5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</row>
    <row r="79" spans="1:5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</row>
    <row r="80" spans="1:5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</row>
    <row r="81" spans="1:5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</row>
    <row r="82" spans="1:5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</row>
    <row r="83" spans="1:5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</row>
    <row r="84" spans="1:5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</row>
    <row r="85" spans="1:5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</row>
    <row r="86" spans="1:5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</row>
    <row r="87" spans="1:5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</row>
    <row r="88" spans="1:5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</row>
    <row r="89" spans="1:5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</row>
    <row r="90" spans="1:5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</row>
    <row r="91" spans="1:5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</row>
    <row r="92" spans="1:5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</row>
    <row r="93" spans="1:5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</row>
    <row r="94" spans="1:5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</row>
    <row r="95" spans="1:5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</row>
    <row r="96" spans="1:5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</row>
    <row r="97" spans="1:5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</row>
    <row r="98" spans="1:5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</row>
    <row r="99" spans="1:5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</row>
    <row r="100" spans="1:5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</row>
    <row r="101" spans="1:52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</row>
    <row r="102" spans="1:52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</row>
    <row r="103" spans="1:52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</row>
    <row r="104" spans="1:52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</row>
    <row r="105" spans="1:52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</row>
    <row r="106" spans="1:52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</row>
    <row r="107" spans="1:52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</row>
    <row r="108" spans="1:52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</row>
    <row r="109" spans="1:52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</row>
    <row r="110" spans="1:52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</row>
    <row r="111" spans="1:52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</row>
    <row r="112" spans="1:52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</row>
    <row r="113" spans="1:52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</row>
    <row r="114" spans="1:52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</row>
    <row r="115" spans="1:52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</row>
    <row r="116" spans="1:52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</row>
    <row r="117" spans="1:52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</row>
    <row r="118" spans="1:52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</row>
    <row r="119" spans="1:52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</row>
    <row r="120" spans="1:52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</row>
    <row r="121" spans="1:52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</row>
    <row r="122" spans="1:52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</row>
    <row r="123" spans="1:52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</row>
    <row r="124" spans="1:52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</row>
    <row r="125" spans="1:52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</row>
    <row r="126" spans="1:52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</row>
    <row r="127" spans="1:52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</row>
    <row r="128" spans="1:52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</row>
    <row r="129" spans="1:52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</row>
    <row r="130" spans="1:52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</row>
    <row r="131" spans="1:52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</row>
    <row r="132" spans="1:52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</row>
    <row r="133" spans="1:52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</row>
    <row r="134" spans="1:52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</row>
    <row r="135" spans="1:52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</row>
    <row r="136" spans="1:52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</row>
    <row r="137" spans="1:52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</row>
    <row r="138" spans="1:52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</row>
    <row r="139" spans="1:52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</row>
    <row r="140" spans="1:52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</row>
    <row r="141" spans="1:52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</row>
    <row r="142" spans="1:52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</row>
    <row r="143" spans="1:52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</row>
    <row r="144" spans="1:52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</row>
    <row r="145" spans="1:52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</row>
    <row r="146" spans="1:52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</row>
    <row r="147" spans="1:52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</row>
    <row r="148" spans="1:52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</row>
    <row r="149" spans="1:52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</row>
    <row r="150" spans="1:52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</row>
    <row r="151" spans="1:52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</row>
    <row r="152" spans="1:52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</row>
    <row r="153" spans="1:52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</row>
    <row r="154" spans="1:52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</row>
    <row r="155" spans="1:5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</row>
    <row r="156" spans="1:5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</row>
    <row r="157" spans="1:5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</row>
    <row r="158" spans="1:5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</row>
    <row r="159" spans="1:5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</row>
    <row r="160" spans="1:5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</row>
    <row r="161" spans="1:52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</row>
    <row r="162" spans="1:52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</row>
  </sheetData>
  <sheetProtection algorithmName="SHA-512" hashValue="xxFfkPKq8VStX6wowj7I0cyA1Ybk0B+lM0Oz8GNbK+7ims9xsYWsW7F3oXGcdT+HG7MnOhXkd7YywCJYKWQQ4A==" saltValue="a4TRBvre/OiQIfE2rB7ihw==" spinCount="100000" sheet="1" objects="1" scenarios="1"/>
  <protectedRanges>
    <protectedRange sqref="D7 D9 D11" name="Geometria"/>
    <protectedRange sqref="C15:D20" name="Armatura"/>
    <protectedRange sqref="C24 C26" name="Materiali"/>
    <protectedRange sqref="C30:C31" name="Azioni agenti"/>
  </protectedRanges>
  <mergeCells count="10">
    <mergeCell ref="K6:M6"/>
    <mergeCell ref="B22:E22"/>
    <mergeCell ref="B29:D29"/>
    <mergeCell ref="K12:N12"/>
    <mergeCell ref="K22:N22"/>
    <mergeCell ref="B5:E5"/>
    <mergeCell ref="B6:E6"/>
    <mergeCell ref="B8:E8"/>
    <mergeCell ref="B10:E10"/>
    <mergeCell ref="B13:D13"/>
  </mergeCells>
  <conditionalFormatting sqref="N14">
    <cfRule type="containsText" dxfId="1" priority="1" operator="containsText" text="RIGETTATA">
      <formula>NOT(ISERROR(SEARCH("RIGETTATA",N14)))</formula>
    </cfRule>
    <cfRule type="containsText" dxfId="0" priority="2" operator="containsText" text="ACCETTATA">
      <formula>NOT(ISERROR(SEARCH("ACCETTATA",N14)))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o1.M_rd">
                <anchor moveWithCells="1" sizeWithCells="1">
                  <from>
                    <xdr:col>5</xdr:col>
                    <xdr:colOff>142875</xdr:colOff>
                    <xdr:row>13</xdr:row>
                    <xdr:rowOff>0</xdr:rowOff>
                  </from>
                  <to>
                    <xdr:col>9</xdr:col>
                    <xdr:colOff>57150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0750-092F-4C06-8391-A5B0DE173802}">
  <sheetPr codeName="Foglio2"/>
  <dimension ref="B3:L20"/>
  <sheetViews>
    <sheetView workbookViewId="0">
      <selection activeCell="C18" sqref="C18"/>
    </sheetView>
  </sheetViews>
  <sheetFormatPr defaultRowHeight="12.75" x14ac:dyDescent="0.2"/>
  <cols>
    <col min="2" max="2" width="4.5703125" customWidth="1"/>
    <col min="3" max="3" width="6.5703125" customWidth="1"/>
    <col min="9" max="9" width="4" bestFit="1" customWidth="1"/>
    <col min="10" max="10" width="7" bestFit="1" customWidth="1"/>
    <col min="11" max="11" width="2.7109375" bestFit="1" customWidth="1"/>
  </cols>
  <sheetData>
    <row r="3" spans="2:12" x14ac:dyDescent="0.2">
      <c r="B3" t="s">
        <v>18</v>
      </c>
      <c r="I3" t="s">
        <v>46</v>
      </c>
    </row>
    <row r="4" spans="2:12" ht="14.25" x14ac:dyDescent="0.25">
      <c r="B4" t="s">
        <v>19</v>
      </c>
      <c r="C4">
        <v>200</v>
      </c>
      <c r="D4" t="s">
        <v>20</v>
      </c>
      <c r="I4" t="s">
        <v>43</v>
      </c>
      <c r="J4">
        <v>0.80959999999999999</v>
      </c>
      <c r="K4" t="s">
        <v>45</v>
      </c>
    </row>
    <row r="5" spans="2:12" ht="14.25" x14ac:dyDescent="0.25">
      <c r="B5" t="s">
        <v>21</v>
      </c>
      <c r="I5" t="s">
        <v>44</v>
      </c>
      <c r="J5">
        <v>0.41599999999999998</v>
      </c>
      <c r="K5" t="s">
        <v>45</v>
      </c>
    </row>
    <row r="6" spans="2:12" ht="14.25" x14ac:dyDescent="0.25">
      <c r="B6" t="s">
        <v>22</v>
      </c>
      <c r="C6">
        <v>1.96</v>
      </c>
      <c r="D6" t="s">
        <v>23</v>
      </c>
    </row>
    <row r="9" spans="2:12" ht="14.25" x14ac:dyDescent="0.25">
      <c r="I9" t="s">
        <v>65</v>
      </c>
      <c r="J9">
        <v>0.01</v>
      </c>
      <c r="K9" t="s">
        <v>45</v>
      </c>
      <c r="L9" t="s">
        <v>66</v>
      </c>
    </row>
    <row r="10" spans="2:12" x14ac:dyDescent="0.2">
      <c r="B10" t="s">
        <v>24</v>
      </c>
    </row>
    <row r="11" spans="2:12" ht="14.25" x14ac:dyDescent="0.25">
      <c r="B11" t="s">
        <v>25</v>
      </c>
      <c r="C11">
        <f xml:space="preserve"> 0.85*f_ck/1.5</f>
        <v>14.166666666666666</v>
      </c>
      <c r="D11" t="s">
        <v>11</v>
      </c>
    </row>
    <row r="12" spans="2:12" x14ac:dyDescent="0.2">
      <c r="B12" t="s">
        <v>26</v>
      </c>
    </row>
    <row r="13" spans="2:12" ht="14.25" x14ac:dyDescent="0.25">
      <c r="B13" t="s">
        <v>27</v>
      </c>
      <c r="C13">
        <f>f_yk/1.15</f>
        <v>391.304347826087</v>
      </c>
      <c r="D13" t="s">
        <v>11</v>
      </c>
    </row>
    <row r="16" spans="2:12" x14ac:dyDescent="0.2">
      <c r="B16" t="s">
        <v>28</v>
      </c>
    </row>
    <row r="17" spans="2:4" x14ac:dyDescent="0.2">
      <c r="B17" t="s">
        <v>29</v>
      </c>
      <c r="C17">
        <f>h - d_prime</f>
        <v>315</v>
      </c>
      <c r="D17" t="s">
        <v>2</v>
      </c>
    </row>
    <row r="19" spans="2:4" x14ac:dyDescent="0.2">
      <c r="B19" t="s">
        <v>30</v>
      </c>
    </row>
    <row r="20" spans="2:4" ht="14.25" x14ac:dyDescent="0.25">
      <c r="B20" t="s">
        <v>31</v>
      </c>
      <c r="C20">
        <v>-3.5</v>
      </c>
      <c r="D20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B3053-08A2-42EE-9571-243DF11BDEB0}">
  <sheetPr codeName="Foglio3"/>
  <dimension ref="B2:N26"/>
  <sheetViews>
    <sheetView workbookViewId="0">
      <selection activeCell="J18" sqref="J18"/>
    </sheetView>
  </sheetViews>
  <sheetFormatPr defaultRowHeight="12.75" x14ac:dyDescent="0.2"/>
  <cols>
    <col min="9" max="9" width="12.28515625" bestFit="1" customWidth="1"/>
  </cols>
  <sheetData>
    <row r="2" spans="2:14" x14ac:dyDescent="0.2">
      <c r="B2" t="s">
        <v>37</v>
      </c>
    </row>
    <row r="3" spans="2:14" ht="14.25" x14ac:dyDescent="0.25">
      <c r="B3" t="s">
        <v>38</v>
      </c>
      <c r="C3">
        <v>37.445380246271711</v>
      </c>
      <c r="D3" t="s">
        <v>2</v>
      </c>
      <c r="H3" t="s">
        <v>14</v>
      </c>
      <c r="I3">
        <f>N_ed</f>
        <v>0</v>
      </c>
      <c r="J3" t="s">
        <v>16</v>
      </c>
    </row>
    <row r="6" spans="2:14" x14ac:dyDescent="0.2">
      <c r="B6" s="1" t="s">
        <v>35</v>
      </c>
      <c r="H6" t="s">
        <v>49</v>
      </c>
    </row>
    <row r="7" spans="2:14" ht="14.25" x14ac:dyDescent="0.25">
      <c r="B7" t="s">
        <v>36</v>
      </c>
      <c r="H7" t="s">
        <v>34</v>
      </c>
      <c r="I7">
        <f xml:space="preserve"> (ABS(C.) * (h/2 - y_c) + (S - S_prime)*(h/2 - d_prime))/1000</f>
        <v>93.956658316463702</v>
      </c>
      <c r="J7" t="s">
        <v>17</v>
      </c>
    </row>
    <row r="8" spans="2:14" ht="14.25" x14ac:dyDescent="0.25">
      <c r="B8" t="s">
        <v>39</v>
      </c>
      <c r="C8">
        <f xml:space="preserve"> -(epsilon_c/x_u)* (d-x_u)</f>
        <v>25.942884349125325</v>
      </c>
      <c r="D8" t="s">
        <v>23</v>
      </c>
      <c r="H8" t="s">
        <v>50</v>
      </c>
    </row>
    <row r="9" spans="2:14" ht="14.25" x14ac:dyDescent="0.25">
      <c r="B9" t="s">
        <v>79</v>
      </c>
      <c r="H9" t="s">
        <v>33</v>
      </c>
      <c r="I9">
        <f xml:space="preserve"> C. + S + S_prime</f>
        <v>-3.1390110066809029E-6</v>
      </c>
      <c r="J9" t="s">
        <v>16</v>
      </c>
    </row>
    <row r="10" spans="2:14" ht="14.25" x14ac:dyDescent="0.25">
      <c r="B10" t="s">
        <v>80</v>
      </c>
      <c r="C10">
        <f xml:space="preserve"> IF(x_u &lt; d_prime, -(epsilon_c/x_u)*(d_prime - x_u), (epsilon_c/x_u)*(x_u-d_prime))</f>
        <v>-0.22856840565274156</v>
      </c>
      <c r="D10" t="s">
        <v>23</v>
      </c>
    </row>
    <row r="13" spans="2:14" x14ac:dyDescent="0.2">
      <c r="B13" s="1" t="s">
        <v>40</v>
      </c>
    </row>
    <row r="14" spans="2:14" x14ac:dyDescent="0.2">
      <c r="B14" t="s">
        <v>36</v>
      </c>
      <c r="N14" s="1"/>
    </row>
    <row r="15" spans="2:14" ht="14.25" x14ac:dyDescent="0.25">
      <c r="B15" t="s">
        <v>41</v>
      </c>
      <c r="C15">
        <f xml:space="preserve"> IF(-epsilon_yd &lt;= epsilon_s, IF(epsilon_s &lt;= epsilon_yd, epsilon_s * E_s, f_yd),f_yd)</f>
        <v>391.304347826087</v>
      </c>
      <c r="D15" t="s">
        <v>11</v>
      </c>
    </row>
    <row r="16" spans="2:14" x14ac:dyDescent="0.2">
      <c r="B16" t="s">
        <v>81</v>
      </c>
      <c r="I16" s="1" t="s">
        <v>54</v>
      </c>
    </row>
    <row r="17" spans="2:12" ht="15.75" x14ac:dyDescent="0.25">
      <c r="B17" t="s">
        <v>82</v>
      </c>
      <c r="C17">
        <f xml:space="preserve"> IF(-epsilon_yd &lt;= epsilon_sprime, IF(epsilon_sprime &lt;= epsilon_yd, epsilon_sprime * E_s, f_yd),-f_yd)</f>
        <v>-45.713681130548309</v>
      </c>
      <c r="D17" t="s">
        <v>11</v>
      </c>
      <c r="I17" t="s">
        <v>55</v>
      </c>
      <c r="J17">
        <f xml:space="preserve"> PI() * ('Input - Output'!C15 * ('Input - Output'!D15/2)^2 + 'Input - Output'!C16* ('Input - Output'!D16/2)^2+ 'Input - Output'!C17* ('Input - Output'!D17/2)^2)</f>
        <v>307.8760800517997</v>
      </c>
      <c r="K17" t="s">
        <v>7</v>
      </c>
      <c r="L17" t="s">
        <v>56</v>
      </c>
    </row>
    <row r="18" spans="2:12" ht="15.75" x14ac:dyDescent="0.25">
      <c r="I18" t="s">
        <v>6</v>
      </c>
      <c r="J18">
        <f xml:space="preserve"> PI() * ('Input - Output'!C18 * ('Input - Output'!D18/2)^2 +'Input - Output'!C19* ('Input - Output'!D19/2)^2 + 'Input - Output'!C20 * ('Input - Output'!D20/2)^2)</f>
        <v>804.24771931898704</v>
      </c>
      <c r="K18" t="s">
        <v>7</v>
      </c>
      <c r="L18" t="s">
        <v>57</v>
      </c>
    </row>
    <row r="20" spans="2:12" x14ac:dyDescent="0.2">
      <c r="B20" s="1" t="s">
        <v>42</v>
      </c>
    </row>
    <row r="21" spans="2:12" x14ac:dyDescent="0.2">
      <c r="B21" t="s">
        <v>47</v>
      </c>
      <c r="E21" t="s">
        <v>51</v>
      </c>
    </row>
    <row r="22" spans="2:12" ht="14.25" x14ac:dyDescent="0.25">
      <c r="B22" t="s">
        <v>83</v>
      </c>
      <c r="C22">
        <f>- beta_1* f_cd* b*x_u /1000</f>
        <v>-300.63148348653397</v>
      </c>
      <c r="D22" t="s">
        <v>16</v>
      </c>
      <c r="E22" t="s">
        <v>84</v>
      </c>
      <c r="F22">
        <f xml:space="preserve"> beta_2 * x_u</f>
        <v>15.577278182449032</v>
      </c>
      <c r="G22" t="s">
        <v>2</v>
      </c>
    </row>
    <row r="23" spans="2:12" x14ac:dyDescent="0.2">
      <c r="B23" t="s">
        <v>36</v>
      </c>
    </row>
    <row r="24" spans="2:12" x14ac:dyDescent="0.2">
      <c r="B24" t="s">
        <v>48</v>
      </c>
      <c r="C24">
        <f>sigma_s * A_s /1000</f>
        <v>314.7056292987341</v>
      </c>
      <c r="D24" t="s">
        <v>16</v>
      </c>
    </row>
    <row r="25" spans="2:12" x14ac:dyDescent="0.2">
      <c r="B25" t="s">
        <v>81</v>
      </c>
    </row>
    <row r="26" spans="2:12" x14ac:dyDescent="0.2">
      <c r="B26" t="s">
        <v>85</v>
      </c>
      <c r="C26">
        <f xml:space="preserve"> sigma_sprime * A_sprime / 1000</f>
        <v>-14.074148951211136</v>
      </c>
      <c r="D2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30</vt:i4>
      </vt:variant>
    </vt:vector>
  </HeadingPairs>
  <TitlesOfParts>
    <vt:vector size="33" baseType="lpstr">
      <vt:lpstr>Input - Output</vt:lpstr>
      <vt:lpstr>Coefficienti</vt:lpstr>
      <vt:lpstr>Calcolo</vt:lpstr>
      <vt:lpstr>A_s</vt:lpstr>
      <vt:lpstr>A_sprime</vt:lpstr>
      <vt:lpstr>b</vt:lpstr>
      <vt:lpstr>beta_1</vt:lpstr>
      <vt:lpstr>beta_2</vt:lpstr>
      <vt:lpstr>C.</vt:lpstr>
      <vt:lpstr>d</vt:lpstr>
      <vt:lpstr>d_prime</vt:lpstr>
      <vt:lpstr>E_s</vt:lpstr>
      <vt:lpstr>eps</vt:lpstr>
      <vt:lpstr>epsilon_c</vt:lpstr>
      <vt:lpstr>epsilon_s</vt:lpstr>
      <vt:lpstr>epsilon_sprime</vt:lpstr>
      <vt:lpstr>epsilon_yd</vt:lpstr>
      <vt:lpstr>f_cd</vt:lpstr>
      <vt:lpstr>f_ck</vt:lpstr>
      <vt:lpstr>f_yd</vt:lpstr>
      <vt:lpstr>f_yk</vt:lpstr>
      <vt:lpstr>h</vt:lpstr>
      <vt:lpstr>M_ed</vt:lpstr>
      <vt:lpstr>M_rd</vt:lpstr>
      <vt:lpstr>N_ed</vt:lpstr>
      <vt:lpstr>N_rd</vt:lpstr>
      <vt:lpstr>S</vt:lpstr>
      <vt:lpstr>S_prime</vt:lpstr>
      <vt:lpstr>sigma_s</vt:lpstr>
      <vt:lpstr>sigma_sprime</vt:lpstr>
      <vt:lpstr>x</vt:lpstr>
      <vt:lpstr>x_u</vt:lpstr>
      <vt:lpstr>y_c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Sberna</dc:creator>
  <cp:lastModifiedBy>Antonio Sberna</cp:lastModifiedBy>
  <dcterms:created xsi:type="dcterms:W3CDTF">2018-07-02T14:46:37Z</dcterms:created>
  <dcterms:modified xsi:type="dcterms:W3CDTF">2019-02-11T15:22:39Z</dcterms:modified>
</cp:coreProperties>
</file>